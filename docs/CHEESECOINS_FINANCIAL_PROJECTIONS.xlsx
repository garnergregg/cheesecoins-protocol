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Treasury Flow" sheetId="3" state="visible" r:id="rId3"/>
    <sheet name="Revenue" sheetId="4" state="visible" r:id="rId4"/>
    <sheet name="Expenses" sheetId="5" state="visible" r:id="rId5"/>
    <sheet name="Income Statement" sheetId="6" state="visible" r:id="rId6"/>
    <sheet name="Cashflow Y1" sheetId="7" state="visible" r:id="rId7"/>
    <sheet name="Balance Sheet" sheetId="8" state="visible" r:id="rId8"/>
    <sheet name="Scenarios" sheetId="9" state="visible" r:id="rId9"/>
    <sheet name="Token Treasu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&quot;$&quot;(#,##0);&quot;—&quot;"/>
    <numFmt numFmtId="165" formatCode="&quot;$&quot;#,##0.00"/>
  </numFmts>
  <fonts count="8">
    <font>
      <name val="Calibri"/>
      <family val="2"/>
      <color theme="1"/>
      <sz val="11"/>
      <scheme val="minor"/>
    </font>
    <font>
      <name val="Helvetica"/>
      <b val="1"/>
      <color rgb="001f2937"/>
      <sz val="18"/>
    </font>
    <font>
      <name val="Helvetica"/>
      <i val="1"/>
      <color rgb="006b7280"/>
      <sz val="9"/>
    </font>
    <font>
      <name val="Helvetica"/>
      <b val="1"/>
      <sz val="11"/>
    </font>
    <font>
      <name val="Helvetica"/>
      <sz val="11"/>
    </font>
    <font>
      <name val="Helvetica"/>
      <b val="1"/>
      <color rgb="00ffffff"/>
      <sz val="11"/>
    </font>
    <font>
      <name val="Helvetica"/>
      <b val="1"/>
      <color rgb="00ffffff"/>
      <sz val="12"/>
    </font>
    <font>
      <name val="Helvetica"/>
      <b val="1"/>
      <color rgb="00065f46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34155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6" fillId="6" borderId="0" pivotButton="0" quotePrefix="0" xfId="0"/>
    <xf numFmtId="164" fontId="6" fillId="6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applyAlignment="1" pivotButton="0" quotePrefix="0" xfId="0">
      <alignment horizontal="left" vertical="center"/>
    </xf>
    <xf numFmtId="165" fontId="6" fillId="6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38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56" customWidth="1" min="3" max="3"/>
  </cols>
  <sheetData>
    <row r="3" ht="30" customHeight="1">
      <c r="B3" s="1" t="inlineStr">
        <is>
          <t>Cheesecoins Protocol — Financial Projections</t>
        </is>
      </c>
    </row>
    <row r="4">
      <c r="B4" s="2" t="inlineStr">
        <is>
          <t>Version v3 · Generated 2026-05-05 · Dynamic treasury + Balance Sheet</t>
        </is>
      </c>
    </row>
    <row r="6">
      <c r="B6" s="3" t="inlineStr">
        <is>
          <t>Project</t>
        </is>
      </c>
      <c r="C6" s="4" t="inlineStr">
        <is>
          <t>Cheesecoins Protocol</t>
        </is>
      </c>
    </row>
    <row r="7">
      <c r="B7" s="3" t="inlineStr">
        <is>
          <t>Network</t>
        </is>
      </c>
      <c r="C7" s="4" t="inlineStr">
        <is>
          <t>Arbitrum One mainnet (live since 2026-03-25)</t>
        </is>
      </c>
    </row>
    <row r="8">
      <c r="B8" s="3" t="inlineStr">
        <is>
          <t>Token</t>
        </is>
      </c>
      <c r="C8" s="4" t="inlineStr">
        <is>
          <t>CURD (200,000,000 supply)</t>
        </is>
      </c>
    </row>
    <row r="9">
      <c r="B9" s="3" t="inlineStr">
        <is>
          <t>Treasury</t>
        </is>
      </c>
      <c r="C9" s="4" t="inlineStr">
        <is>
          <t>Gnosis Safe 0x6C64ACd0Be573D7c90d9b0c6fFDf2E69573871D2</t>
        </is>
      </c>
    </row>
    <row r="10">
      <c r="B10" s="3" t="inlineStr">
        <is>
          <t>Founder</t>
        </is>
      </c>
      <c r="C10" s="4" t="inlineStr">
        <is>
          <t>Gregory Garner — Nubians North farm, Ontario</t>
        </is>
      </c>
    </row>
    <row r="11">
      <c r="B11" s="3" t="inlineStr">
        <is>
          <t>Funding</t>
        </is>
      </c>
      <c r="C11" s="4" t="inlineStr">
        <is>
          <t>Pre-grant. Applying to Arbitrum Advanced Growth ($150k)</t>
        </is>
      </c>
    </row>
    <row r="13">
      <c r="B13" s="3" t="inlineStr">
        <is>
          <t>What's new in v3</t>
        </is>
      </c>
    </row>
    <row r="14">
      <c r="B14" s="4" t="inlineStr">
        <is>
          <t>• Balance Sheet wired in — assets / liabilities / equity for Y1, Y2, Y3 year-end</t>
        </is>
      </c>
    </row>
    <row r="15">
      <c r="B15" s="4" t="inlineStr">
        <is>
          <t>• Dynamic USDC treasury — accumulates from real CURD sales + fees, not a flat dial</t>
        </is>
      </c>
    </row>
    <row r="16">
      <c r="B16" s="4" t="inlineStr">
        <is>
          <t>• CURD-backing-per-circulating-token metric — shows speculative upside as treasury grows</t>
        </is>
      </c>
    </row>
    <row r="17">
      <c r="B17" s="4" t="inlineStr">
        <is>
          <t>• T-bill yield calc now references the rolling treasury balance (more accurate)</t>
        </is>
      </c>
    </row>
    <row r="20">
      <c r="B20" s="3" t="inlineStr">
        <is>
          <t>How to use</t>
        </is>
      </c>
    </row>
    <row r="21">
      <c r="B21" s="4" t="inlineStr">
        <is>
          <t>1. Open Assumptions — yellow cells are user inputs.</t>
        </is>
      </c>
    </row>
    <row r="22">
      <c r="B22" s="4" t="inlineStr">
        <is>
          <t>2. Change any yellow cell; downstream sheets recalculate via formulas.</t>
        </is>
      </c>
    </row>
    <row r="23">
      <c r="B23" s="4" t="inlineStr">
        <is>
          <t>3. Income Statement and Balance Sheet are the primary outputs.</t>
        </is>
      </c>
    </row>
    <row r="24">
      <c r="B24" s="4" t="inlineStr">
        <is>
          <t>4. Treasury Flow shows how USDC builds up year-over-year — this drives T-bill yield.</t>
        </is>
      </c>
    </row>
    <row r="25">
      <c r="B25" s="4" t="inlineStr">
        <is>
          <t>5. Use the Scenarios sheet to compare conservative / base / aggressive.</t>
        </is>
      </c>
    </row>
    <row r="28">
      <c r="B28" s="3" t="inlineStr">
        <is>
          <t>Sheets in this workbook</t>
        </is>
      </c>
    </row>
    <row r="29">
      <c r="B29" s="4" t="inlineStr">
        <is>
          <t xml:space="preserve">  Cover</t>
        </is>
      </c>
      <c r="C29" s="4" t="inlineStr">
        <is>
          <t>this page</t>
        </is>
      </c>
    </row>
    <row r="30">
      <c r="B30" s="4" t="inlineStr">
        <is>
          <t xml:space="preserve">  Assumptions</t>
        </is>
      </c>
      <c r="C30" s="4" t="inlineStr">
        <is>
          <t>input dials (partner growth, fee rates, expense lines, treasury params)</t>
        </is>
      </c>
    </row>
    <row r="31">
      <c r="B31" s="4" t="inlineStr">
        <is>
          <t xml:space="preserve">  Treasury Flow</t>
        </is>
      </c>
      <c r="C31" s="4" t="inlineStr">
        <is>
          <t>USDC accumulation + T-bill deployment + yield distribution (rolling Y1→Y3)</t>
        </is>
      </c>
    </row>
    <row r="32">
      <c r="B32" s="4" t="inlineStr">
        <is>
          <t xml:space="preserve">  Revenue</t>
        </is>
      </c>
      <c r="C32" s="4" t="inlineStr">
        <is>
          <t>per-stream revenue calculation by year</t>
        </is>
      </c>
    </row>
    <row r="33">
      <c r="B33" s="4" t="inlineStr">
        <is>
          <t xml:space="preserve">  Expenses</t>
        </is>
      </c>
      <c r="C33" s="4" t="inlineStr">
        <is>
          <t>per-category expense calculation by year</t>
        </is>
      </c>
    </row>
    <row r="34">
      <c r="B34" s="4" t="inlineStr">
        <is>
          <t xml:space="preserve">  Income Statement</t>
        </is>
      </c>
      <c r="C34" s="4" t="inlineStr">
        <is>
          <t>consolidated P&amp;L Y1 / Y2 / Y3 + 3-yr totals</t>
        </is>
      </c>
    </row>
    <row r="35">
      <c r="B35" s="4" t="inlineStr">
        <is>
          <t xml:space="preserve">  Cashflow Y1</t>
        </is>
      </c>
      <c r="C35" s="4" t="inlineStr">
        <is>
          <t>monthly cashflow May 2026 – Apr 2027</t>
        </is>
      </c>
    </row>
    <row r="36">
      <c r="B36" s="4" t="inlineStr">
        <is>
          <t xml:space="preserve">  Balance Sheet</t>
        </is>
      </c>
      <c r="C36" s="4" t="inlineStr">
        <is>
          <t>assets / liabilities / equity + CURD-backing-per-token</t>
        </is>
      </c>
    </row>
    <row r="37">
      <c r="B37" s="4" t="inlineStr">
        <is>
          <t xml:space="preserve">  Scenarios</t>
        </is>
      </c>
      <c r="C37" s="4" t="inlineStr">
        <is>
          <t>conservative / base / aggressive comparison</t>
        </is>
      </c>
    </row>
    <row r="38">
      <c r="B38" s="4" t="inlineStr">
        <is>
          <t xml:space="preserve">  Token Treasury</t>
        </is>
      </c>
      <c r="C38" s="4" t="inlineStr">
        <is>
          <t>CURD allocation movements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38" customWidth="1" min="6" max="6"/>
  </cols>
  <sheetData>
    <row r="2">
      <c r="B2" s="1" t="inlineStr">
        <is>
          <t>ASSUMPTIONS — yellow cells are user inputs</t>
        </is>
      </c>
    </row>
    <row r="3">
      <c r="B3" s="2" t="inlineStr">
        <is>
          <t>Every downstream sheet references this. USDC treasury balance is now COMPUTED in Treasury Flow, not input.</t>
        </is>
      </c>
    </row>
    <row r="5">
      <c r="B5" s="5" t="inlineStr">
        <is>
          <t>Driver</t>
        </is>
      </c>
      <c r="C5" s="5" t="inlineStr">
        <is>
          <t>Year 1</t>
        </is>
      </c>
      <c r="D5" s="5" t="inlineStr">
        <is>
          <t>Year 2</t>
        </is>
      </c>
      <c r="E5" s="5" t="inlineStr">
        <is>
          <t>Year 3</t>
        </is>
      </c>
      <c r="F5" s="5" t="inlineStr">
        <is>
          <t>Notes</t>
        </is>
      </c>
    </row>
    <row r="6">
      <c r="B6" s="6" t="inlineStr">
        <is>
          <t>PARTNER GROWTH (Greg's scaled trajectory — assumes AI-leveraged onboarding)</t>
        </is>
      </c>
    </row>
    <row r="7">
      <c r="B7" s="7" t="inlineStr">
        <is>
          <t>Partners — Vendors (tier 1)</t>
        </is>
      </c>
      <c r="C7" s="8" t="n">
        <v>10</v>
      </c>
      <c r="D7" s="8" t="n">
        <v>1000</v>
      </c>
      <c r="E7" s="8" t="n">
        <v>10000</v>
      </c>
      <c r="F7" s="2" t="inlineStr">
        <is>
          <t>Sells inputs to producers</t>
        </is>
      </c>
    </row>
    <row r="8">
      <c r="B8" s="7" t="inlineStr">
        <is>
          <t>Partners — Producers (tier 2)</t>
        </is>
      </c>
      <c r="C8" s="8" t="n">
        <v>4</v>
      </c>
      <c r="D8" s="8" t="n">
        <v>400</v>
      </c>
      <c r="E8" s="8" t="n">
        <v>4000</v>
      </c>
      <c r="F8" s="2" t="inlineStr">
        <is>
          <t>Farms</t>
        </is>
      </c>
    </row>
    <row r="9">
      <c r="B9" s="7" t="inlineStr">
        <is>
          <t>Partners — Processors (tier 3)</t>
        </is>
      </c>
      <c r="C9" s="8" t="n">
        <v>4</v>
      </c>
      <c r="D9" s="8" t="n">
        <v>10</v>
      </c>
      <c r="E9" s="8" t="n">
        <v>100</v>
      </c>
      <c r="F9" s="2" t="inlineStr">
        <is>
          <t>Cheese plants, abattoirs</t>
        </is>
      </c>
    </row>
    <row r="10">
      <c r="B10" s="7" t="inlineStr">
        <is>
          <t>Partners — Distributors (tier 4)</t>
        </is>
      </c>
      <c r="C10" s="8" t="n">
        <v>5</v>
      </c>
      <c r="D10" s="8" t="n">
        <v>10</v>
      </c>
      <c r="E10" s="8" t="n">
        <v>300</v>
      </c>
      <c r="F10" s="2" t="inlineStr">
        <is>
          <t>Wholesalers</t>
        </is>
      </c>
    </row>
    <row r="11">
      <c r="B11" s="7" t="inlineStr">
        <is>
          <t>Partners — Merchants (tier 5)</t>
        </is>
      </c>
      <c r="C11" s="8" t="n">
        <v>30</v>
      </c>
      <c r="D11" s="8" t="n">
        <v>3000</v>
      </c>
      <c r="E11" s="8" t="n">
        <v>30000</v>
      </c>
      <c r="F11" s="2" t="inlineStr">
        <is>
          <t>Retail / direct-to-consumer</t>
        </is>
      </c>
    </row>
    <row r="12">
      <c r="B12" s="6" t="inlineStr">
        <is>
          <t>MONTHLY GMV PER PARTNER (USD)</t>
        </is>
      </c>
    </row>
    <row r="13">
      <c r="B13" s="7" t="inlineStr">
        <is>
          <t>Avg monthly GMV — Vendor</t>
        </is>
      </c>
      <c r="C13" s="9" t="n">
        <v>1500</v>
      </c>
      <c r="D13" s="9" t="n">
        <v>5000</v>
      </c>
      <c r="E13" s="9" t="n">
        <v>7500</v>
      </c>
      <c r="F13" s="2" t="inlineStr">
        <is>
          <t>Conservative SMB ag estimate</t>
        </is>
      </c>
    </row>
    <row r="14">
      <c r="B14" s="7" t="inlineStr">
        <is>
          <t>Avg monthly GMV — Producer</t>
        </is>
      </c>
      <c r="C14" s="9" t="n">
        <v>3000</v>
      </c>
      <c r="D14" s="9" t="n">
        <v>4000</v>
      </c>
      <c r="E14" s="9" t="n">
        <v>5000</v>
      </c>
      <c r="F14" s="2" t="inlineStr">
        <is>
          <t>Farm direct sales</t>
        </is>
      </c>
    </row>
    <row r="15">
      <c r="B15" s="7" t="inlineStr">
        <is>
          <t>Avg monthly GMV — Processor</t>
        </is>
      </c>
      <c r="C15" s="9" t="n">
        <v>5000</v>
      </c>
      <c r="D15" s="9" t="n">
        <v>6500</v>
      </c>
      <c r="E15" s="9" t="n">
        <v>9000</v>
      </c>
      <c r="F15" s="2" t="inlineStr">
        <is>
          <t>Higher-value processing</t>
        </is>
      </c>
    </row>
    <row r="16">
      <c r="B16" s="7" t="inlineStr">
        <is>
          <t>Avg monthly GMV — Distributor</t>
        </is>
      </c>
      <c r="C16" s="9" t="n">
        <v>8000</v>
      </c>
      <c r="D16" s="9" t="n">
        <v>10000</v>
      </c>
      <c r="E16" s="9" t="n">
        <v>13000</v>
      </c>
      <c r="F16" s="2" t="inlineStr">
        <is>
          <t>Bulk wholesale</t>
        </is>
      </c>
    </row>
    <row r="17">
      <c r="B17" s="7" t="inlineStr">
        <is>
          <t>Avg monthly GMV — Merchant</t>
        </is>
      </c>
      <c r="C17" s="9" t="n">
        <v>2000</v>
      </c>
      <c r="D17" s="9" t="n">
        <v>5000</v>
      </c>
      <c r="E17" s="9" t="n">
        <v>7000</v>
      </c>
      <c r="F17" s="2" t="inlineStr">
        <is>
          <t>Retail per location</t>
        </is>
      </c>
    </row>
    <row r="18">
      <c r="B18" s="6" t="inlineStr">
        <is>
          <t>PROTOCOL FEE STRUCTURE</t>
        </is>
      </c>
    </row>
    <row r="19">
      <c r="B19" s="7" t="inlineStr">
        <is>
          <t>Commerce NFT mint fee (% of project sale)</t>
        </is>
      </c>
      <c r="C19" s="10" t="n">
        <v>0.05</v>
      </c>
      <c r="D19" s="10" t="n">
        <v>0.05</v>
      </c>
      <c r="E19" s="10" t="n">
        <v>0.05</v>
      </c>
      <c r="F19" s="2" t="inlineStr">
        <is>
          <t>Per Phase 2 spec</t>
        </is>
      </c>
    </row>
    <row r="20">
      <c r="B20" s="7" t="inlineStr">
        <is>
          <t>Capital/Land NFT mint fee (%)</t>
        </is>
      </c>
      <c r="C20" s="10" t="n">
        <v>0.025</v>
      </c>
      <c r="D20" s="10" t="n">
        <v>0.025</v>
      </c>
      <c r="E20" s="10" t="n">
        <v>0.025</v>
      </c>
      <c r="F20" s="2" t="inlineStr">
        <is>
          <t>Per Phase 2 spec</t>
        </is>
      </c>
    </row>
    <row r="21">
      <c r="B21" s="7" t="inlineStr">
        <is>
          <t>CurdDirectSale spread (%)</t>
        </is>
      </c>
      <c r="C21" s="10" t="n">
        <v>0.01</v>
      </c>
      <c r="D21" s="10" t="n">
        <v>0.01</v>
      </c>
      <c r="E21" s="10" t="n">
        <v>0.01</v>
      </c>
      <c r="F21" s="2" t="inlineStr">
        <is>
          <t>USDC→CURD spread</t>
        </is>
      </c>
    </row>
    <row r="22">
      <c r="B22" s="7" t="inlineStr">
        <is>
          <t>FX hedge premium (% per settlement)</t>
        </is>
      </c>
      <c r="C22" s="10" t="n">
        <v>0</v>
      </c>
      <c r="D22" s="10" t="n">
        <v>0.004</v>
      </c>
      <c r="E22" s="10" t="n">
        <v>0.004</v>
      </c>
      <c r="F22" s="2" t="inlineStr">
        <is>
          <t>Phase 2 — Y1 not live</t>
        </is>
      </c>
    </row>
    <row r="23">
      <c r="B23" s="6" t="inlineStr">
        <is>
          <t>NFT PROJECT ACTIVITY</t>
        </is>
      </c>
    </row>
    <row r="24">
      <c r="B24" s="7" t="inlineStr">
        <is>
          <t># Commerce NFT projects launched/yr</t>
        </is>
      </c>
      <c r="C24" s="8" t="n">
        <v>5</v>
      </c>
      <c r="D24" s="8" t="n">
        <v>500</v>
      </c>
      <c r="E24" s="8" t="n">
        <v>4000</v>
      </c>
      <c r="F24" s="2" t="inlineStr">
        <is>
          <t>Roughly = active partner-issuers</t>
        </is>
      </c>
    </row>
    <row r="25">
      <c r="B25" s="7" t="inlineStr">
        <is>
          <t>Avg Commerce NFT raise per project (USD)</t>
        </is>
      </c>
      <c r="C25" s="9" t="n">
        <v>20000</v>
      </c>
      <c r="D25" s="9" t="n">
        <v>40000</v>
      </c>
      <c r="E25" s="9" t="n">
        <v>80000</v>
      </c>
      <c r="F25" s="2" t="inlineStr">
        <is>
          <t>Sold-out target</t>
        </is>
      </c>
    </row>
    <row r="26">
      <c r="B26" s="7" t="inlineStr">
        <is>
          <t># Capital/Land NFT projects launched/yr</t>
        </is>
      </c>
      <c r="C26" s="8" t="n">
        <v>2</v>
      </c>
      <c r="D26" s="8" t="n">
        <v>100</v>
      </c>
      <c r="E26" s="8" t="n">
        <v>1000</v>
      </c>
      <c r="F26" s="2" t="inlineStr">
        <is>
          <t>Larger, less frequent</t>
        </is>
      </c>
    </row>
    <row r="27">
      <c r="B27" s="7" t="inlineStr">
        <is>
          <t>Avg Capital/Land raise per project (USD)</t>
        </is>
      </c>
      <c r="C27" s="9" t="n">
        <v>500000</v>
      </c>
      <c r="D27" s="9" t="n">
        <v>1000000</v>
      </c>
      <c r="E27" s="9" t="n">
        <v>1500000</v>
      </c>
      <c r="F27" s="2" t="inlineStr">
        <is>
          <t>Equipment / land partial-rights</t>
        </is>
      </c>
    </row>
    <row r="28">
      <c r="B28" s="7" t="inlineStr">
        <is>
          <t>CurdDirectSale buyers/yr</t>
        </is>
      </c>
      <c r="C28" s="8" t="n">
        <v>1000</v>
      </c>
      <c r="D28" s="8" t="n">
        <v>50000</v>
      </c>
      <c r="E28" s="8" t="n">
        <v>1000000</v>
      </c>
      <c r="F28" s="2" t="inlineStr">
        <is>
          <t>USDC→CURD direct purchasers</t>
        </is>
      </c>
    </row>
    <row r="29">
      <c r="B29" s="7" t="inlineStr">
        <is>
          <t>Avg CurdDirectSale purchase (USD)</t>
        </is>
      </c>
      <c r="C29" s="9" t="n">
        <v>100</v>
      </c>
      <c r="D29" s="9" t="n">
        <v>250</v>
      </c>
      <c r="E29" s="9" t="n">
        <v>350</v>
      </c>
      <c r="F29" s="2" t="inlineStr">
        <is>
          <t>Per-buyer avg</t>
        </is>
      </c>
    </row>
    <row r="30">
      <c r="B30" s="6" t="inlineStr">
        <is>
          <t>SETTLEMENT INDEX (Phase 2/3 — subscription revenue)</t>
        </is>
      </c>
    </row>
    <row r="31">
      <c r="B31" s="7" t="inlineStr">
        <is>
          <t># subscriber protocols</t>
        </is>
      </c>
      <c r="C31" s="8" t="n">
        <v>0</v>
      </c>
      <c r="D31" s="8" t="n">
        <v>3</v>
      </c>
      <c r="E31" s="8" t="n">
        <v>10</v>
      </c>
      <c r="F31" s="2" t="inlineStr">
        <is>
          <t>Y1 not live; Y2 mid-year launch</t>
        </is>
      </c>
    </row>
    <row r="32">
      <c r="B32" s="7" t="inlineStr">
        <is>
          <t>Avg monthly subscription per protocol (USD)</t>
        </is>
      </c>
      <c r="C32" s="9" t="n">
        <v>0</v>
      </c>
      <c r="D32" s="9" t="n">
        <v>500</v>
      </c>
      <c r="E32" s="9" t="n">
        <v>750</v>
      </c>
      <c r="F32" s="2" t="inlineStr">
        <is>
          <t>Conservative tier</t>
        </is>
      </c>
    </row>
    <row r="33">
      <c r="B33" s="7" t="inlineStr">
        <is>
          <t>Active months in year</t>
        </is>
      </c>
      <c r="C33" s="8" t="n">
        <v>0</v>
      </c>
      <c r="D33" s="8" t="n">
        <v>6</v>
      </c>
      <c r="E33" s="8" t="n">
        <v>12</v>
      </c>
      <c r="F33" s="2" t="inlineStr">
        <is>
          <t>Y2 = mid-year launch</t>
        </is>
      </c>
    </row>
    <row r="34">
      <c r="B34" s="6" t="inlineStr">
        <is>
          <t>TREASURY MANAGEMENT (T-bill deployment of USDC reserves)</t>
        </is>
      </c>
    </row>
    <row r="35">
      <c r="B35" s="7" t="inlineStr">
        <is>
          <t>T-bill APY (%)</t>
        </is>
      </c>
      <c r="C35" s="10" t="n">
        <v>0.045</v>
      </c>
      <c r="D35" s="10" t="n">
        <v>0.045</v>
      </c>
      <c r="E35" s="10" t="n">
        <v>0.045</v>
      </c>
      <c r="F35" s="2" t="inlineStr">
        <is>
          <t>Tokenized USDC T-bill products (Ondo USDY, Mountain USDM, BlackRock BUIDL)</t>
        </is>
      </c>
    </row>
    <row r="36">
      <c r="B36" s="7" t="inlineStr">
        <is>
          <t>Protocol's share of yield (%)</t>
        </is>
      </c>
      <c r="C36" s="10" t="n">
        <v>0.3</v>
      </c>
      <c r="D36" s="10" t="n">
        <v>0.3</v>
      </c>
      <c r="E36" s="10" t="n">
        <v>0.3</v>
      </c>
      <c r="F36" s="2" t="inlineStr">
        <is>
          <t>30% to protocol treasury, 70% to staked CURD holders</t>
        </is>
      </c>
    </row>
    <row r="37">
      <c r="B37" s="7" t="inlineStr">
        <is>
          <t>Stakers' share of yield (%)</t>
        </is>
      </c>
      <c r="C37" s="10" t="n">
        <v>0.7</v>
      </c>
      <c r="D37" s="10" t="n">
        <v>0.7</v>
      </c>
      <c r="E37" s="10" t="n">
        <v>0.7</v>
      </c>
      <c r="F37" s="2" t="inlineStr">
        <is>
          <t>Routed via BootstrapYieldPool / TreasuryRateAdvisor</t>
        </is>
      </c>
    </row>
    <row r="38">
      <c r="B38" s="7" t="inlineStr">
        <is>
          <t>% of USDC deployed in T-bills</t>
        </is>
      </c>
      <c r="C38" s="10" t="n">
        <v>0.5</v>
      </c>
      <c r="D38" s="10" t="n">
        <v>0.8</v>
      </c>
      <c r="E38" s="10" t="n">
        <v>0.9</v>
      </c>
      <c r="F38" s="2" t="inlineStr">
        <is>
          <t>Rest held as operating liquidity. Ramps as protocol matures</t>
        </is>
      </c>
    </row>
    <row r="39">
      <c r="B39" s="6" t="inlineStr">
        <is>
          <t>AI-LEVERAGED OPERATIONS — Customer Acquisition</t>
        </is>
      </c>
    </row>
    <row r="40">
      <c r="B40" s="7" t="inlineStr">
        <is>
          <t>Customer Acquisition Cost per partner (USD)</t>
        </is>
      </c>
      <c r="C40" s="9" t="n">
        <v>50</v>
      </c>
      <c r="D40" s="9" t="n">
        <v>30</v>
      </c>
      <c r="E40" s="9" t="n">
        <v>20</v>
      </c>
      <c r="F40" s="2" t="inlineStr">
        <is>
          <t>AI-assisted outreach + auto-onboarding; declines as scale + reputation grow</t>
        </is>
      </c>
    </row>
    <row r="41">
      <c r="B41" s="7" t="inlineStr">
        <is>
          <t>Baseline marketing budget (non-CAC, USD/yr)</t>
        </is>
      </c>
      <c r="C41" s="9" t="n">
        <v>30000</v>
      </c>
      <c r="D41" s="9" t="n">
        <v>60000</v>
      </c>
      <c r="E41" s="9" t="n">
        <v>120000</v>
      </c>
      <c r="F41" s="2" t="inlineStr">
        <is>
          <t>Brand + content + events. Decoupled from per-partner CAC</t>
        </is>
      </c>
    </row>
    <row r="42">
      <c r="B42" s="6" t="inlineStr">
        <is>
          <t>EXPENSES — STAFF &amp; OPS (lean, AI-leveraged)</t>
        </is>
      </c>
    </row>
    <row r="43">
      <c r="B43" s="7" t="inlineStr">
        <is>
          <t>Founder pay (USD/year)</t>
        </is>
      </c>
      <c r="C43" s="9" t="n">
        <v>24000</v>
      </c>
      <c r="D43" s="9" t="n">
        <v>80000</v>
      </c>
      <c r="E43" s="9" t="n">
        <v>120000</v>
      </c>
      <c r="F43" s="2" t="inlineStr">
        <is>
          <t>Y1 grant-funded; Y2-3 scale w/ revenue</t>
        </is>
      </c>
    </row>
    <row r="44">
      <c r="B44" s="7" t="inlineStr">
        <is>
          <t>Contractor capacity (USD/year)</t>
        </is>
      </c>
      <c r="C44" s="9" t="n">
        <v>6000</v>
      </c>
      <c r="D44" s="9" t="n">
        <v>60000</v>
      </c>
      <c r="E44" s="9" t="n">
        <v>200000</v>
      </c>
      <c r="F44" s="2" t="inlineStr">
        <is>
          <t>3-4 part-time contractors by Y3</t>
        </is>
      </c>
    </row>
    <row r="45">
      <c r="B45" s="7" t="inlineStr">
        <is>
          <t>Ops stipend (USD/year)</t>
        </is>
      </c>
      <c r="C45" s="9" t="n">
        <v>12000</v>
      </c>
      <c r="D45" s="9" t="n">
        <v>30000</v>
      </c>
      <c r="E45" s="9" t="n">
        <v>60000</v>
      </c>
      <c r="F45" s="2" t="inlineStr">
        <is>
          <t>Multi-keeper, monitoring, support</t>
        </is>
      </c>
    </row>
    <row r="46">
      <c r="B46" s="7" t="inlineStr">
        <is>
          <t>Hosting &amp; infra (USD/month)</t>
        </is>
      </c>
      <c r="C46" s="9" t="n">
        <v>150</v>
      </c>
      <c r="D46" s="9" t="n">
        <v>800</v>
      </c>
      <c r="E46" s="9" t="n">
        <v>2500</v>
      </c>
      <c r="F46" s="2" t="inlineStr">
        <is>
          <t>Scales with traffic + RPC volume</t>
        </is>
      </c>
    </row>
    <row r="47">
      <c r="B47" s="7" t="inlineStr">
        <is>
          <t>Legal / compliance (USD/year)</t>
        </is>
      </c>
      <c r="C47" s="9" t="n">
        <v>5000</v>
      </c>
      <c r="D47" s="9" t="n">
        <v>50000</v>
      </c>
      <c r="E47" s="9" t="n">
        <v>150000</v>
      </c>
      <c r="F47" s="2" t="inlineStr">
        <is>
          <t>Scales w/ Capital NFT throughput</t>
        </is>
      </c>
    </row>
    <row r="48">
      <c r="B48" s="7" t="inlineStr">
        <is>
          <t>Audit costs (USD/year)</t>
        </is>
      </c>
      <c r="C48" s="9" t="n">
        <v>6000</v>
      </c>
      <c r="D48" s="9" t="n">
        <v>40000</v>
      </c>
      <c r="E48" s="9" t="n">
        <v>80000</v>
      </c>
      <c r="F48" s="2" t="inlineStr">
        <is>
          <t>Multiple modules + annual reviews</t>
        </is>
      </c>
    </row>
    <row r="49">
      <c r="B49" s="7" t="inlineStr">
        <is>
          <t>CME data license (USD/month)</t>
        </is>
      </c>
      <c r="C49" s="9" t="n">
        <v>0</v>
      </c>
      <c r="D49" s="9" t="n">
        <v>5000</v>
      </c>
      <c r="E49" s="9" t="n">
        <v>15000</v>
      </c>
      <c r="F49" s="2" t="inlineStr">
        <is>
          <t>Y2+ if direct deal; scales w/ users</t>
        </is>
      </c>
    </row>
    <row r="50">
      <c r="B50" s="7" t="inlineStr">
        <is>
          <t>CME seed (one-time, USD)</t>
        </is>
      </c>
      <c r="C50" s="9" t="n">
        <v>8000</v>
      </c>
      <c r="D50" s="9" t="n">
        <v>0</v>
      </c>
      <c r="E50" s="9" t="n">
        <v>0</v>
      </c>
      <c r="F50" s="2" t="inlineStr">
        <is>
          <t>Initial integration buffer (grant)</t>
        </is>
      </c>
    </row>
    <row r="51">
      <c r="B51" s="7" t="inlineStr">
        <is>
          <t>Liquidity tranche (one-time, USD)</t>
        </is>
      </c>
      <c r="C51" s="9" t="n">
        <v>20000</v>
      </c>
      <c r="D51" s="9" t="n">
        <v>0</v>
      </c>
      <c r="E51" s="9" t="n">
        <v>0</v>
      </c>
      <c r="F51" s="2" t="inlineStr">
        <is>
          <t>CURD/USDC pool seed (grant)</t>
        </is>
      </c>
    </row>
    <row r="52">
      <c r="B52" s="6" t="inlineStr">
        <is>
          <t>INFLOWS — GRANT</t>
        </is>
      </c>
    </row>
    <row r="53">
      <c r="B53" s="7" t="inlineStr">
        <is>
          <t>Arbitrum grant tranche (USD)</t>
        </is>
      </c>
      <c r="C53" s="9" t="n">
        <v>150000</v>
      </c>
      <c r="D53" s="9" t="n">
        <v>0</v>
      </c>
      <c r="E53" s="9" t="n">
        <v>0</v>
      </c>
      <c r="F53" s="2" t="inlineStr">
        <is>
          <t>Tranched per milestones</t>
        </is>
      </c>
    </row>
    <row r="54">
      <c r="B54" s="6" t="inlineStr">
        <is>
          <t>CURD TOKEN ECONOMICS (informational)</t>
        </is>
      </c>
    </row>
    <row r="55">
      <c r="B55" s="7" t="inlineStr">
        <is>
          <t>CURD total supply</t>
        </is>
      </c>
      <c r="C55" s="8" t="n">
        <v>200000000</v>
      </c>
      <c r="D55" s="8" t="n">
        <v>200000000</v>
      </c>
      <c r="E55" s="8" t="n">
        <v>200000000</v>
      </c>
      <c r="F55" s="2" t="inlineStr">
        <is>
          <t>Fixed cap (no new mints in this model)</t>
        </is>
      </c>
    </row>
    <row r="56">
      <c r="B56" s="7" t="inlineStr">
        <is>
          <t>CURD held in treasury (locked / unsold)</t>
        </is>
      </c>
      <c r="C56" s="8" t="n">
        <v>180000000</v>
      </c>
      <c r="D56" s="8" t="n">
        <v>175000000</v>
      </c>
      <c r="E56" s="8" t="n">
        <v>165000000</v>
      </c>
      <c r="F56" s="2" t="inlineStr">
        <is>
          <t>Decreases as CURD is sold/distributed/staked</t>
        </is>
      </c>
    </row>
  </sheetData>
  <mergeCells count="10">
    <mergeCell ref="B30:F30"/>
    <mergeCell ref="B12:F12"/>
    <mergeCell ref="B39:F39"/>
    <mergeCell ref="B6:F6"/>
    <mergeCell ref="B54:F54"/>
    <mergeCell ref="B34:F34"/>
    <mergeCell ref="B42:F42"/>
    <mergeCell ref="B23:F23"/>
    <mergeCell ref="B18:F18"/>
    <mergeCell ref="B52:F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2">
      <c r="B2" s="1" t="inlineStr">
        <is>
          <t>USDC TREASURY FLOW &amp; T-BILL YIELD</t>
        </is>
      </c>
    </row>
    <row r="3">
      <c r="B3" s="2" t="inlineStr">
        <is>
          <t>USDC accumulates from CURD sales + fees + grant. Deployed into tokenized T-bills. Yield routes to stakers + protocol.</t>
        </is>
      </c>
    </row>
    <row r="5">
      <c r="B5" s="5" t="inlineStr">
        <is>
          <t>Flow</t>
        </is>
      </c>
      <c r="C5" s="5" t="inlineStr">
        <is>
          <t>Year 1</t>
        </is>
      </c>
      <c r="D5" s="5" t="inlineStr">
        <is>
          <t>Year 2</t>
        </is>
      </c>
      <c r="E5" s="5" t="inlineStr">
        <is>
          <t>Year 3</t>
        </is>
      </c>
      <c r="F5" s="5" t="inlineStr">
        <is>
          <t>Notes</t>
        </is>
      </c>
    </row>
    <row r="6">
      <c r="B6" s="6" t="inlineStr">
        <is>
          <t>USDC INFLOWS (Annual)</t>
        </is>
      </c>
    </row>
    <row r="7">
      <c r="B7" s="7" t="inlineStr">
        <is>
          <t>CurdDirectSale revenue (USDC)</t>
        </is>
      </c>
      <c r="C7" s="11">
        <f>Assumptions!C28*Assumptions!C29</f>
        <v/>
      </c>
      <c r="D7" s="11">
        <f>Assumptions!D28*Assumptions!D29</f>
        <v/>
      </c>
      <c r="E7" s="11">
        <f>Assumptions!E28*Assumptions!E29</f>
        <v/>
      </c>
      <c r="F7" s="2">
        <f> buyers × avg purchase</f>
        <v/>
      </c>
    </row>
    <row r="8">
      <c r="B8" s="7" t="inlineStr">
        <is>
          <t>Commerce NFT fees (USDC, protocol's 5%)</t>
        </is>
      </c>
      <c r="C8" s="11">
        <f>Assumptions!C24*Assumptions!C25*Assumptions!C19</f>
        <v/>
      </c>
      <c r="D8" s="11">
        <f>Assumptions!D24*Assumptions!D25*Assumptions!D19</f>
        <v/>
      </c>
      <c r="E8" s="11">
        <f>Assumptions!E24*Assumptions!E25*Assumptions!E19</f>
        <v/>
      </c>
      <c r="F8" s="2">
        <f> projects × avg raise × fee%</f>
        <v/>
      </c>
    </row>
    <row r="9">
      <c r="B9" s="7" t="inlineStr">
        <is>
          <t>Capital/Land NFT fees (USDC, protocol's 2.5%)</t>
        </is>
      </c>
      <c r="C9" s="11">
        <f>Assumptions!C26*Assumptions!C27*Assumptions!C20</f>
        <v/>
      </c>
      <c r="D9" s="11">
        <f>Assumptions!D26*Assumptions!D27*Assumptions!D20</f>
        <v/>
      </c>
      <c r="E9" s="11">
        <f>Assumptions!E26*Assumptions!E27*Assumptions!E20</f>
        <v/>
      </c>
      <c r="F9" s="2">
        <f> projects × avg raise × fee%</f>
        <v/>
      </c>
    </row>
    <row r="10">
      <c r="B10" s="7" t="inlineStr">
        <is>
          <t>FX hedge premium (USDC)</t>
        </is>
      </c>
      <c r="C10" s="11">
        <f>12*(Assumptions!C7*Assumptions!C13+Assumptions!C8*Assumptions!C14+Assumptions!C9*Assumptions!C15+Assumptions!C10*Assumptions!C16+Assumptions!C11*Assumptions!C17)*Assumptions!C22</f>
        <v/>
      </c>
      <c r="D10" s="11">
        <f>12*(Assumptions!D7*Assumptions!D13+Assumptions!D8*Assumptions!D14+Assumptions!D9*Assumptions!D15+Assumptions!D10*Assumptions!D16+Assumptions!D11*Assumptions!D17)*Assumptions!D22</f>
        <v/>
      </c>
      <c r="E10" s="11">
        <f>12*(Assumptions!E7*Assumptions!E13+Assumptions!E8*Assumptions!E14+Assumptions!E9*Assumptions!E15+Assumptions!E10*Assumptions!E16+Assumptions!E11*Assumptions!E17)*Assumptions!E22</f>
        <v/>
      </c>
      <c r="F10" s="2">
        <f> total GMV × premium%</f>
        <v/>
      </c>
    </row>
    <row r="11">
      <c r="B11" s="7" t="inlineStr">
        <is>
          <t>Subscription Index fees (USDC)</t>
        </is>
      </c>
      <c r="C11" s="11">
        <f>Assumptions!C31*Assumptions!C32*Assumptions!C33</f>
        <v/>
      </c>
      <c r="D11" s="11">
        <f>Assumptions!D31*Assumptions!D32*Assumptions!D33</f>
        <v/>
      </c>
      <c r="E11" s="11">
        <f>Assumptions!E31*Assumptions!E32*Assumptions!E33</f>
        <v/>
      </c>
      <c r="F11" s="2">
        <f> protocols × monthly × active months</f>
        <v/>
      </c>
    </row>
    <row r="12">
      <c r="B12" s="7" t="inlineStr">
        <is>
          <t>Grant inflow (USDC)</t>
        </is>
      </c>
      <c r="C12" s="11">
        <f>Assumptions!C53</f>
        <v/>
      </c>
      <c r="D12" s="11">
        <f>Assumptions!D53</f>
        <v/>
      </c>
      <c r="E12" s="11">
        <f>Assumptions!E53</f>
        <v/>
      </c>
      <c r="F12" s="2" t="inlineStr">
        <is>
          <t>Y1 only</t>
        </is>
      </c>
    </row>
    <row r="13">
      <c r="B13" s="12" t="inlineStr">
        <is>
          <t>TOTAL USDC INFLOWS</t>
        </is>
      </c>
      <c r="C13" s="13">
        <f>SUM(C7:C12)</f>
        <v/>
      </c>
      <c r="D13" s="13">
        <f>SUM(D7:D12)</f>
        <v/>
      </c>
      <c r="E13" s="13">
        <f>SUM(E7:E12)</f>
        <v/>
      </c>
      <c r="F13" s="2" t="inlineStr"/>
    </row>
    <row r="14">
      <c r="B14" s="6" t="inlineStr">
        <is>
          <t>USDC OUTFLOWS (operating expenses paid in USDC)</t>
        </is>
      </c>
    </row>
    <row r="15">
      <c r="B15" s="7" t="inlineStr">
        <is>
          <t>Operating expenses paid in USDC</t>
        </is>
      </c>
      <c r="C15" s="11">
        <f>Assumptions!C43+Assumptions!C44+Assumptions!C45+Assumptions!C46*12+Assumptions!C49*12+Assumptions!C47+Assumptions!C48+Assumptions!C50+Assumptions!C51+Assumptions!C41+(Assumptions!C7+Assumptions!C8+Assumptions!C9+Assumptions!C10+Assumptions!C11)*Assumptions!C40</f>
        <v/>
      </c>
      <c r="D15" s="11">
        <f>Assumptions!D43+Assumptions!D44+Assumptions!D45+Assumptions!D46*12+Assumptions!D49*12+Assumptions!D47+Assumptions!D48+Assumptions!D50+Assumptions!D51+Assumptions!D41+((Assumptions!D7+Assumptions!D8+Assumptions!D9+Assumptions!D10+Assumptions!D11)-(Assumptions!C7+Assumptions!C8+Assumptions!C9+Assumptions!C10+Assumptions!C11))*Assumptions!D40</f>
        <v/>
      </c>
      <c r="E15" s="11">
        <f>Assumptions!E43+Assumptions!E44+Assumptions!E45+Assumptions!E46*12+Assumptions!E49*12+Assumptions!E47+Assumptions!E48+Assumptions!E50+Assumptions!E51+Assumptions!E41+((Assumptions!E7+Assumptions!E8+Assumptions!E9+Assumptions!E10+Assumptions!E11)-(Assumptions!D7+Assumptions!D8+Assumptions!D9+Assumptions!D10+Assumptions!D11))*Assumptions!E40</f>
        <v/>
      </c>
      <c r="F15" s="2">
        <f> all USD expenses (yield-to-stakers paid in CURD, excluded)</f>
        <v/>
      </c>
    </row>
    <row r="16">
      <c r="B16" s="6" t="inlineStr">
        <is>
          <t>USDC TREASURY POSITION (rolling Y1→Y3)</t>
        </is>
      </c>
    </row>
    <row r="17">
      <c r="B17" s="14" t="inlineStr">
        <is>
          <t>Opening balance</t>
        </is>
      </c>
      <c r="C17" s="15" t="n">
        <v>0</v>
      </c>
      <c r="D17" s="15">
        <f>C18</f>
        <v/>
      </c>
      <c r="E17" s="15">
        <f>D18</f>
        <v/>
      </c>
      <c r="F17" s="2" t="inlineStr"/>
    </row>
    <row r="18">
      <c r="B18" s="14" t="inlineStr">
        <is>
          <t>Closing balance</t>
        </is>
      </c>
      <c r="C18" s="16">
        <f>C17+C13-C15</f>
        <v/>
      </c>
      <c r="D18" s="16">
        <f>D17+D13-D15</f>
        <v/>
      </c>
      <c r="E18" s="16">
        <f>E17+E13-E15</f>
        <v/>
      </c>
      <c r="F18" s="2">
        <f> opening + inflows − USDC opex</f>
        <v/>
      </c>
    </row>
    <row r="19">
      <c r="B19" s="14" t="inlineStr">
        <is>
          <t>Average balance (used for T-bill yield)</t>
        </is>
      </c>
      <c r="C19" s="15">
        <f>(C17+C18)/2</f>
        <v/>
      </c>
      <c r="D19" s="15">
        <f>(D17+D18)/2</f>
        <v/>
      </c>
      <c r="E19" s="15">
        <f>(E17+E18)/2</f>
        <v/>
      </c>
      <c r="F19" s="2" t="inlineStr"/>
    </row>
    <row r="20">
      <c r="B20" s="6" t="inlineStr">
        <is>
          <t>T-BILL DEPLOYMENT &amp; YIELD</t>
        </is>
      </c>
    </row>
    <row r="21">
      <c r="B21" s="7" t="inlineStr">
        <is>
          <t>USDC deployed in T-bills</t>
        </is>
      </c>
      <c r="C21" s="11">
        <f>C19*Assumptions!C38</f>
        <v/>
      </c>
      <c r="D21" s="11">
        <f>D19*Assumptions!D38</f>
        <v/>
      </c>
      <c r="E21" s="11">
        <f>E19*Assumptions!E38</f>
        <v/>
      </c>
      <c r="F21" s="2">
        <f> avg balance × deploy%</f>
        <v/>
      </c>
    </row>
    <row r="22">
      <c r="B22" s="7" t="inlineStr">
        <is>
          <t>Gross T-bill yield</t>
        </is>
      </c>
      <c r="C22" s="11">
        <f>C21*Assumptions!C35</f>
        <v/>
      </c>
      <c r="D22" s="11">
        <f>D21*Assumptions!D35</f>
        <v/>
      </c>
      <c r="E22" s="11">
        <f>E21*Assumptions!E35</f>
        <v/>
      </c>
      <c r="F22" s="2">
        <f> deployed × APY</f>
        <v/>
      </c>
    </row>
    <row r="23">
      <c r="B23" s="12" t="inlineStr">
        <is>
          <t>→ Protocol's share (revenue line)</t>
        </is>
      </c>
      <c r="C23" s="13">
        <f>C22*Assumptions!C36</f>
        <v/>
      </c>
      <c r="D23" s="13">
        <f>D22*Assumptions!D36</f>
        <v/>
      </c>
      <c r="E23" s="13">
        <f>E22*Assumptions!E36</f>
        <v/>
      </c>
      <c r="F23" s="2" t="inlineStr"/>
    </row>
    <row r="24">
      <c r="B24" s="7" t="inlineStr">
        <is>
          <t>→ Stakers' share (paid via BootstrapYieldPool)</t>
        </is>
      </c>
      <c r="C24" s="11">
        <f>C22*Assumptions!C37</f>
        <v/>
      </c>
      <c r="D24" s="11">
        <f>D22*Assumptions!D37</f>
        <v/>
      </c>
      <c r="E24" s="11">
        <f>E22*Assumptions!E37</f>
        <v/>
      </c>
      <c r="F24" s="2" t="inlineStr"/>
    </row>
  </sheetData>
  <mergeCells count="4">
    <mergeCell ref="B16:F16"/>
    <mergeCell ref="B20:F20"/>
    <mergeCell ref="B6:F6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2">
      <c r="B2" s="1" t="inlineStr">
        <is>
          <t>REVENUE PROJECTIONS</t>
        </is>
      </c>
    </row>
    <row r="3">
      <c r="B3" s="2" t="inlineStr">
        <is>
          <t>Formulas reference Assumptions and Treasury Flow.</t>
        </is>
      </c>
    </row>
    <row r="5">
      <c r="B5" s="5" t="inlineStr">
        <is>
          <t>Revenue Stream</t>
        </is>
      </c>
      <c r="C5" s="5" t="inlineStr">
        <is>
          <t>Year 1</t>
        </is>
      </c>
      <c r="D5" s="5" t="inlineStr">
        <is>
          <t>Year 2</t>
        </is>
      </c>
      <c r="E5" s="5" t="inlineStr">
        <is>
          <t>Year 3</t>
        </is>
      </c>
      <c r="F5" s="5" t="inlineStr">
        <is>
          <t>Calculation</t>
        </is>
      </c>
    </row>
    <row r="6">
      <c r="B6" s="6" t="inlineStr">
        <is>
          <t>STREAM 1 — NFT MINT FEES</t>
        </is>
      </c>
    </row>
    <row r="7">
      <c r="B7" s="4" t="inlineStr">
        <is>
          <t>Commerce NFT mint fees</t>
        </is>
      </c>
      <c r="C7" s="11">
        <f>'Treasury Flow'!C8</f>
        <v/>
      </c>
      <c r="D7" s="11">
        <f>'Treasury Flow'!D8</f>
        <v/>
      </c>
      <c r="E7" s="11">
        <f>'Treasury Flow'!E8</f>
        <v/>
      </c>
      <c r="F7" s="2" t="inlineStr">
        <is>
          <t>From Treasury Flow</t>
        </is>
      </c>
    </row>
    <row r="8">
      <c r="B8" s="4" t="inlineStr">
        <is>
          <t>Capital/Land NFT mint fees</t>
        </is>
      </c>
      <c r="C8" s="11">
        <f>'Treasury Flow'!C9</f>
        <v/>
      </c>
      <c r="D8" s="11">
        <f>'Treasury Flow'!D9</f>
        <v/>
      </c>
      <c r="E8" s="11">
        <f>'Treasury Flow'!E9</f>
        <v/>
      </c>
      <c r="F8" s="2" t="inlineStr">
        <is>
          <t>From Treasury Flow</t>
        </is>
      </c>
    </row>
    <row r="9">
      <c r="B9" s="6" t="inlineStr">
        <is>
          <t>STREAM 2 — DIRECT SALE SPREAD (1% on CurdDirectSale)</t>
        </is>
      </c>
    </row>
    <row r="10">
      <c r="B10" s="4" t="inlineStr">
        <is>
          <t>CurdDirectSale spread</t>
        </is>
      </c>
      <c r="C10" s="11">
        <f>Assumptions!C28*Assumptions!C29*Assumptions!C21</f>
        <v/>
      </c>
      <c r="D10" s="11">
        <f>Assumptions!D28*Assumptions!D29*Assumptions!D21</f>
        <v/>
      </c>
      <c r="E10" s="11">
        <f>Assumptions!E28*Assumptions!E29*Assumptions!E21</f>
        <v/>
      </c>
      <c r="F10" s="2">
        <f> buyers × avg purchase × spread%</f>
        <v/>
      </c>
    </row>
    <row r="11">
      <c r="B11" s="6" t="inlineStr">
        <is>
          <t>STREAM 3 — FX HEDGE PREMIUM (Phase 2)</t>
        </is>
      </c>
    </row>
    <row r="12">
      <c r="B12" s="4" t="inlineStr">
        <is>
          <t>FX hedge premium revenue</t>
        </is>
      </c>
      <c r="C12" s="11">
        <f>'Treasury Flow'!C10</f>
        <v/>
      </c>
      <c r="D12" s="11">
        <f>'Treasury Flow'!D10</f>
        <v/>
      </c>
      <c r="E12" s="11">
        <f>'Treasury Flow'!E10</f>
        <v/>
      </c>
      <c r="F12" s="2" t="inlineStr">
        <is>
          <t>From Treasury Flow</t>
        </is>
      </c>
    </row>
    <row r="13">
      <c r="B13" s="6" t="inlineStr">
        <is>
          <t>STREAM 4 — SETTLEMENT INDEX SUBSCRIPTION</t>
        </is>
      </c>
    </row>
    <row r="14">
      <c r="B14" s="4" t="inlineStr">
        <is>
          <t>Settlement Index subscriptions</t>
        </is>
      </c>
      <c r="C14" s="11">
        <f>'Treasury Flow'!C11</f>
        <v/>
      </c>
      <c r="D14" s="11">
        <f>'Treasury Flow'!D11</f>
        <v/>
      </c>
      <c r="E14" s="11">
        <f>'Treasury Flow'!E11</f>
        <v/>
      </c>
      <c r="F14" s="2" t="inlineStr">
        <is>
          <t>From Treasury Flow</t>
        </is>
      </c>
    </row>
    <row r="15">
      <c r="B15" s="6" t="inlineStr">
        <is>
          <t>STREAM 5 — T-BILL YIELD (protocol's share)</t>
        </is>
      </c>
    </row>
    <row r="16">
      <c r="B16" s="4" t="inlineStr">
        <is>
          <t>Protocol's share of T-bill yield</t>
        </is>
      </c>
      <c r="C16" s="11">
        <f>'Treasury Flow'!C23</f>
        <v/>
      </c>
      <c r="D16" s="11">
        <f>'Treasury Flow'!D23</f>
        <v/>
      </c>
      <c r="E16" s="11">
        <f>'Treasury Flow'!E23</f>
        <v/>
      </c>
      <c r="F16" s="2" t="inlineStr">
        <is>
          <t>From Treasury Flow — uses dynamic avg USDC balance</t>
        </is>
      </c>
    </row>
    <row r="17">
      <c r="B17" s="6" t="inlineStr">
        <is>
          <t>STREAM 6 — GRANT (one-time, Y1)</t>
        </is>
      </c>
    </row>
    <row r="18">
      <c r="B18" s="4" t="inlineStr">
        <is>
          <t>Arbitrum Foundation grant</t>
        </is>
      </c>
      <c r="C18" s="11">
        <f>Assumptions!C53</f>
        <v/>
      </c>
      <c r="D18" s="11">
        <f>Assumptions!D53</f>
        <v/>
      </c>
      <c r="E18" s="11">
        <f>Assumptions!E53</f>
        <v/>
      </c>
      <c r="F18" s="2" t="inlineStr">
        <is>
          <t>Treated separately — non-operating inflow</t>
        </is>
      </c>
    </row>
    <row r="20">
      <c r="B20" s="6" t="inlineStr">
        <is>
          <t>TOTALS</t>
        </is>
      </c>
    </row>
    <row r="21">
      <c r="B21" s="3" t="inlineStr">
        <is>
          <t>OPERATING REVENUE (excl. grant)</t>
        </is>
      </c>
      <c r="C21" s="13">
        <f>C7+C8+C10+C12+C14+C16</f>
        <v/>
      </c>
      <c r="D21" s="13">
        <f>D7+D8+D10+D12+D14+D16</f>
        <v/>
      </c>
      <c r="E21" s="13">
        <f>E7+E8+E10+E12+E14+E16</f>
        <v/>
      </c>
    </row>
    <row r="22">
      <c r="B22" s="17" t="inlineStr">
        <is>
          <t>TOTAL INFLOWS (incl. grant)</t>
        </is>
      </c>
      <c r="C22" s="18">
        <f>C21+C18</f>
        <v/>
      </c>
      <c r="D22" s="18">
        <f>D21+D18</f>
        <v/>
      </c>
      <c r="E22" s="18">
        <f>E21+E18</f>
        <v/>
      </c>
    </row>
  </sheetData>
  <mergeCells count="7">
    <mergeCell ref="B6:F6"/>
    <mergeCell ref="B20:F20"/>
    <mergeCell ref="B15:F15"/>
    <mergeCell ref="B11:F11"/>
    <mergeCell ref="B17:F17"/>
    <mergeCell ref="B9:F9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2">
      <c r="B2" s="1" t="inlineStr">
        <is>
          <t>EXPENSE PROJECTIONS</t>
        </is>
      </c>
    </row>
    <row r="3">
      <c r="B3" s="2" t="inlineStr">
        <is>
          <t>Formulas reference Assumptions and Treasury Flow.</t>
        </is>
      </c>
    </row>
    <row r="5">
      <c r="B5" s="5" t="inlineStr">
        <is>
          <t>Expense Category</t>
        </is>
      </c>
      <c r="C5" s="5" t="inlineStr">
        <is>
          <t>Year 1</t>
        </is>
      </c>
      <c r="D5" s="5" t="inlineStr">
        <is>
          <t>Year 2</t>
        </is>
      </c>
      <c r="E5" s="5" t="inlineStr">
        <is>
          <t>Year 3</t>
        </is>
      </c>
      <c r="F5" s="5" t="inlineStr">
        <is>
          <t>Calculation</t>
        </is>
      </c>
    </row>
    <row r="6">
      <c r="B6" s="6" t="inlineStr">
        <is>
          <t>RECURRING — STAFF &amp; OPS</t>
        </is>
      </c>
    </row>
    <row r="7">
      <c r="B7" s="4" t="inlineStr">
        <is>
          <t>Founder pay</t>
        </is>
      </c>
      <c r="C7" s="11">
        <f>Assumptions!C43</f>
        <v/>
      </c>
      <c r="D7" s="11">
        <f>Assumptions!D43</f>
        <v/>
      </c>
      <c r="E7" s="11">
        <f>Assumptions!E43</f>
        <v/>
      </c>
      <c r="F7" s="2" t="inlineStr"/>
    </row>
    <row r="8">
      <c r="B8" s="4" t="inlineStr">
        <is>
          <t>Contractor capacity</t>
        </is>
      </c>
      <c r="C8" s="11">
        <f>Assumptions!C44</f>
        <v/>
      </c>
      <c r="D8" s="11">
        <f>Assumptions!D44</f>
        <v/>
      </c>
      <c r="E8" s="11">
        <f>Assumptions!E44</f>
        <v/>
      </c>
      <c r="F8" s="2" t="inlineStr"/>
    </row>
    <row r="9">
      <c r="B9" s="4" t="inlineStr">
        <is>
          <t>Ops stipend</t>
        </is>
      </c>
      <c r="C9" s="11">
        <f>Assumptions!C45</f>
        <v/>
      </c>
      <c r="D9" s="11">
        <f>Assumptions!D45</f>
        <v/>
      </c>
      <c r="E9" s="11">
        <f>Assumptions!E45</f>
        <v/>
      </c>
      <c r="F9" s="2" t="inlineStr"/>
    </row>
    <row r="10">
      <c r="B10" s="6" t="inlineStr">
        <is>
          <t>RECURRING — INFRASTRUCTURE</t>
        </is>
      </c>
    </row>
    <row r="11">
      <c r="B11" s="4" t="inlineStr">
        <is>
          <t>Hosting &amp; infra (annualized)</t>
        </is>
      </c>
      <c r="C11" s="11">
        <f>Assumptions!C46*12</f>
        <v/>
      </c>
      <c r="D11" s="11">
        <f>Assumptions!D46*12</f>
        <v/>
      </c>
      <c r="E11" s="11">
        <f>Assumptions!E46*12</f>
        <v/>
      </c>
      <c r="F11" s="2">
        <f> monthly × 12</f>
        <v/>
      </c>
    </row>
    <row r="12">
      <c r="B12" s="4" t="inlineStr">
        <is>
          <t>CME data license (annualized)</t>
        </is>
      </c>
      <c r="C12" s="11">
        <f>Assumptions!C49*12</f>
        <v/>
      </c>
      <c r="D12" s="11">
        <f>Assumptions!D49*12</f>
        <v/>
      </c>
      <c r="E12" s="11">
        <f>Assumptions!E49*12</f>
        <v/>
      </c>
      <c r="F12" s="2">
        <f> monthly × 12</f>
        <v/>
      </c>
    </row>
    <row r="13">
      <c r="B13" s="6" t="inlineStr">
        <is>
          <t>CUSTOMER ACQUISITION (scales with new partners)</t>
        </is>
      </c>
    </row>
    <row r="14">
      <c r="B14" s="4" t="inlineStr">
        <is>
          <t>New partners onboarded (informational)</t>
        </is>
      </c>
      <c r="C14" s="19">
        <f>(Assumptions!C7+Assumptions!C8+Assumptions!C9+Assumptions!C10+Assumptions!C11)</f>
        <v/>
      </c>
      <c r="D14" s="19">
        <f>(Assumptions!D7+Assumptions!D8+Assumptions!D9+Assumptions!D10+Assumptions!D11)-(Assumptions!C7+Assumptions!C8+Assumptions!C9+Assumptions!C10+Assumptions!C11)</f>
        <v/>
      </c>
      <c r="E14" s="19">
        <f>(Assumptions!E7+Assumptions!E8+Assumptions!E9+Assumptions!E10+Assumptions!E11)-(Assumptions!D7+Assumptions!D8+Assumptions!D9+Assumptions!D10+Assumptions!D11)</f>
        <v/>
      </c>
      <c r="F14" s="2">
        <f> total - prior year</f>
        <v/>
      </c>
    </row>
    <row r="15">
      <c r="B15" s="4" t="inlineStr">
        <is>
          <t>Customer acquisition cost (CAC × new partners)</t>
        </is>
      </c>
      <c r="C15" s="11">
        <f>Expenses!C14*Assumptions!C40</f>
        <v/>
      </c>
      <c r="D15" s="11">
        <f>Expenses!D14*Assumptions!D40</f>
        <v/>
      </c>
      <c r="E15" s="11">
        <f>Expenses!E14*Assumptions!E40</f>
        <v/>
      </c>
      <c r="F15" s="2">
        <f> new partners × CAC per partner</f>
        <v/>
      </c>
    </row>
    <row r="16">
      <c r="B16" s="4" t="inlineStr">
        <is>
          <t>Baseline marketing &amp; promotion</t>
        </is>
      </c>
      <c r="C16" s="11">
        <f>Assumptions!C41</f>
        <v/>
      </c>
      <c r="D16" s="11">
        <f>Assumptions!D41</f>
        <v/>
      </c>
      <c r="E16" s="11">
        <f>Assumptions!E41</f>
        <v/>
      </c>
      <c r="F16" s="2" t="inlineStr">
        <is>
          <t>Brand, content, events — decoupled from CAC</t>
        </is>
      </c>
    </row>
    <row r="17">
      <c r="B17" s="6" t="inlineStr">
        <is>
          <t>RECURRING — LEGAL / AUDIT</t>
        </is>
      </c>
    </row>
    <row r="18">
      <c r="B18" s="4" t="inlineStr">
        <is>
          <t>Legal / compliance</t>
        </is>
      </c>
      <c r="C18" s="11">
        <f>Assumptions!C47</f>
        <v/>
      </c>
      <c r="D18" s="11">
        <f>Assumptions!D47</f>
        <v/>
      </c>
      <c r="E18" s="11">
        <f>Assumptions!E47</f>
        <v/>
      </c>
      <c r="F18" s="2" t="inlineStr"/>
    </row>
    <row r="19">
      <c r="B19" s="4" t="inlineStr">
        <is>
          <t>Audit costs</t>
        </is>
      </c>
      <c r="C19" s="11">
        <f>Assumptions!C48</f>
        <v/>
      </c>
      <c r="D19" s="11">
        <f>Assumptions!D48</f>
        <v/>
      </c>
      <c r="E19" s="11">
        <f>Assumptions!E48</f>
        <v/>
      </c>
      <c r="F19" s="2" t="inlineStr"/>
    </row>
    <row r="20">
      <c r="B20" s="6" t="inlineStr">
        <is>
          <t>YIELD DISTRIBUTION (T-bill yield routed to staked CURD holders)</t>
        </is>
      </c>
    </row>
    <row r="21">
      <c r="B21" s="4" t="inlineStr">
        <is>
          <t>Yield paid to staked CURD holders</t>
        </is>
      </c>
      <c r="C21" s="11">
        <f>'Treasury Flow'!C24</f>
        <v/>
      </c>
      <c r="D21" s="11">
        <f>'Treasury Flow'!D24</f>
        <v/>
      </c>
      <c r="E21" s="11">
        <f>'Treasury Flow'!E24</f>
        <v/>
      </c>
      <c r="F21" s="2" t="inlineStr">
        <is>
          <t>From Treasury Flow</t>
        </is>
      </c>
    </row>
    <row r="22">
      <c r="B22" s="6" t="inlineStr">
        <is>
          <t>ONE-TIME (Y1, mostly grant-covered)</t>
        </is>
      </c>
    </row>
    <row r="23">
      <c r="B23" s="4" t="inlineStr">
        <is>
          <t>CME seed</t>
        </is>
      </c>
      <c r="C23" s="11">
        <f>Assumptions!C50</f>
        <v/>
      </c>
      <c r="D23" s="11">
        <f>Assumptions!D50</f>
        <v/>
      </c>
      <c r="E23" s="11">
        <f>Assumptions!E50</f>
        <v/>
      </c>
      <c r="F23" s="2" t="inlineStr"/>
    </row>
    <row r="24">
      <c r="B24" s="4" t="inlineStr">
        <is>
          <t>Liquidity tranche</t>
        </is>
      </c>
      <c r="C24" s="11">
        <f>Assumptions!C51</f>
        <v/>
      </c>
      <c r="D24" s="11">
        <f>Assumptions!D51</f>
        <v/>
      </c>
      <c r="E24" s="11">
        <f>Assumptions!E51</f>
        <v/>
      </c>
      <c r="F24" s="2" t="inlineStr"/>
    </row>
    <row r="26">
      <c r="B26" s="6" t="inlineStr">
        <is>
          <t>TOTALS</t>
        </is>
      </c>
    </row>
    <row r="27">
      <c r="B27" s="17" t="inlineStr">
        <is>
          <t>TOTAL EXPENSES</t>
        </is>
      </c>
      <c r="C27" s="18">
        <f>C7+C8+C9+C11+C12+C15+C16+C18+C19+C21+C23+C24</f>
        <v/>
      </c>
      <c r="D27" s="18">
        <f>D7+D8+D9+D11+D12+D15+D16+D18+D19+D21+D23+D24</f>
        <v/>
      </c>
      <c r="E27" s="18">
        <f>E7+E8+E9+E11+E12+E15+E16+E18+E19+E21+E23+E24</f>
        <v/>
      </c>
    </row>
  </sheetData>
  <mergeCells count="7">
    <mergeCell ref="B6:F6"/>
    <mergeCell ref="B20:F20"/>
    <mergeCell ref="B10:F10"/>
    <mergeCell ref="B22:F22"/>
    <mergeCell ref="B26:F26"/>
    <mergeCell ref="B17:F17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4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INCOME STATEMENT — 3-year projection</t>
        </is>
      </c>
    </row>
    <row r="3">
      <c r="B3" s="2" t="inlineStr">
        <is>
          <t>Pulled from Revenue and Expenses sheets.</t>
        </is>
      </c>
    </row>
    <row r="5">
      <c r="B5" s="5" t="inlineStr">
        <is>
          <t>Line Item</t>
        </is>
      </c>
      <c r="C5" s="5" t="inlineStr">
        <is>
          <t>Year 1</t>
        </is>
      </c>
      <c r="D5" s="5" t="inlineStr">
        <is>
          <t>Year 2</t>
        </is>
      </c>
      <c r="E5" s="5" t="inlineStr">
        <is>
          <t>Year 3</t>
        </is>
      </c>
      <c r="F5" s="5" t="inlineStr">
        <is>
          <t>3-Yr Total</t>
        </is>
      </c>
    </row>
    <row r="6">
      <c r="B6" s="6" t="inlineStr">
        <is>
          <t>REVENUE</t>
        </is>
      </c>
    </row>
    <row r="7">
      <c r="B7" s="4" t="inlineStr">
        <is>
          <t>Commerce NFT mint fees</t>
        </is>
      </c>
      <c r="C7" s="11">
        <f>Revenue!C7</f>
        <v/>
      </c>
      <c r="D7" s="11">
        <f>Revenue!D7</f>
        <v/>
      </c>
      <c r="E7" s="11">
        <f>Revenue!E7</f>
        <v/>
      </c>
      <c r="F7" s="15">
        <f>SUM(C7:E7)</f>
        <v/>
      </c>
    </row>
    <row r="8">
      <c r="B8" s="4" t="inlineStr">
        <is>
          <t>Capital/Land NFT mint fees</t>
        </is>
      </c>
      <c r="C8" s="11">
        <f>Revenue!C8</f>
        <v/>
      </c>
      <c r="D8" s="11">
        <f>Revenue!D8</f>
        <v/>
      </c>
      <c r="E8" s="11">
        <f>Revenue!E8</f>
        <v/>
      </c>
      <c r="F8" s="15">
        <f>SUM(C8:E8)</f>
        <v/>
      </c>
    </row>
    <row r="9">
      <c r="B9" s="4" t="inlineStr">
        <is>
          <t>CurdDirectSale spread</t>
        </is>
      </c>
      <c r="C9" s="11">
        <f>Revenue!C10</f>
        <v/>
      </c>
      <c r="D9" s="11">
        <f>Revenue!D10</f>
        <v/>
      </c>
      <c r="E9" s="11">
        <f>Revenue!E10</f>
        <v/>
      </c>
      <c r="F9" s="15">
        <f>SUM(C9:E9)</f>
        <v/>
      </c>
    </row>
    <row r="10">
      <c r="B10" s="4" t="inlineStr">
        <is>
          <t>FX hedge premium</t>
        </is>
      </c>
      <c r="C10" s="11">
        <f>Revenue!C12</f>
        <v/>
      </c>
      <c r="D10" s="11">
        <f>Revenue!D12</f>
        <v/>
      </c>
      <c r="E10" s="11">
        <f>Revenue!E12</f>
        <v/>
      </c>
      <c r="F10" s="15">
        <f>SUM(C10:E10)</f>
        <v/>
      </c>
    </row>
    <row r="11">
      <c r="B11" s="4" t="inlineStr">
        <is>
          <t>Settlement Index subscriptions</t>
        </is>
      </c>
      <c r="C11" s="11">
        <f>Revenue!C14</f>
        <v/>
      </c>
      <c r="D11" s="11">
        <f>Revenue!D14</f>
        <v/>
      </c>
      <c r="E11" s="11">
        <f>Revenue!E14</f>
        <v/>
      </c>
      <c r="F11" s="15">
        <f>SUM(C11:E11)</f>
        <v/>
      </c>
    </row>
    <row r="12">
      <c r="B12" s="4" t="inlineStr">
        <is>
          <t>T-bill yield (protocol's share)</t>
        </is>
      </c>
      <c r="C12" s="11">
        <f>Revenue!C16</f>
        <v/>
      </c>
      <c r="D12" s="11">
        <f>Revenue!D16</f>
        <v/>
      </c>
      <c r="E12" s="11">
        <f>Revenue!E16</f>
        <v/>
      </c>
      <c r="F12" s="15">
        <f>SUM(C12:E12)</f>
        <v/>
      </c>
    </row>
    <row r="13">
      <c r="B13" s="20" t="inlineStr">
        <is>
          <t>OPERATING REVENUE</t>
        </is>
      </c>
      <c r="C13" s="13">
        <f>Revenue!C21</f>
        <v/>
      </c>
      <c r="D13" s="13">
        <f>Revenue!D21</f>
        <v/>
      </c>
      <c r="E13" s="13">
        <f>Revenue!E21</f>
        <v/>
      </c>
      <c r="F13" s="13">
        <f>SUM(C13:E13)</f>
        <v/>
      </c>
    </row>
    <row r="14">
      <c r="B14" s="4" t="inlineStr">
        <is>
          <t>Arbitrum grant (one-time, Y1)</t>
        </is>
      </c>
      <c r="C14" s="11">
        <f>Revenue!C18</f>
        <v/>
      </c>
      <c r="D14" s="11">
        <f>Revenue!D18</f>
        <v/>
      </c>
      <c r="E14" s="11">
        <f>Revenue!E18</f>
        <v/>
      </c>
      <c r="F14" s="15">
        <f>SUM(C14:E14)</f>
        <v/>
      </c>
    </row>
    <row r="15">
      <c r="B15" s="20" t="inlineStr">
        <is>
          <t>TOTAL INFLOWS</t>
        </is>
      </c>
      <c r="C15" s="13">
        <f>Revenue!C22</f>
        <v/>
      </c>
      <c r="D15" s="13">
        <f>Revenue!D22</f>
        <v/>
      </c>
      <c r="E15" s="13">
        <f>Revenue!E22</f>
        <v/>
      </c>
      <c r="F15" s="13">
        <f>SUM(C15:E15)</f>
        <v/>
      </c>
    </row>
    <row r="17">
      <c r="B17" s="6" t="inlineStr">
        <is>
          <t>EXPENSES</t>
        </is>
      </c>
    </row>
    <row r="18">
      <c r="B18" s="4" t="inlineStr">
        <is>
          <t>Founder pay</t>
        </is>
      </c>
      <c r="C18" s="11">
        <f>Expenses!C7</f>
        <v/>
      </c>
      <c r="D18" s="11">
        <f>Expenses!D7</f>
        <v/>
      </c>
      <c r="E18" s="11">
        <f>Expenses!E7</f>
        <v/>
      </c>
      <c r="F18" s="15">
        <f>SUM(C18:E18)</f>
        <v/>
      </c>
    </row>
    <row r="19">
      <c r="B19" s="4" t="inlineStr">
        <is>
          <t>Contractor capacity</t>
        </is>
      </c>
      <c r="C19" s="11">
        <f>Expenses!C8</f>
        <v/>
      </c>
      <c r="D19" s="11">
        <f>Expenses!D8</f>
        <v/>
      </c>
      <c r="E19" s="11">
        <f>Expenses!E8</f>
        <v/>
      </c>
      <c r="F19" s="15">
        <f>SUM(C19:E19)</f>
        <v/>
      </c>
    </row>
    <row r="20">
      <c r="B20" s="4" t="inlineStr">
        <is>
          <t>Ops stipend</t>
        </is>
      </c>
      <c r="C20" s="11">
        <f>Expenses!C9</f>
        <v/>
      </c>
      <c r="D20" s="11">
        <f>Expenses!D9</f>
        <v/>
      </c>
      <c r="E20" s="11">
        <f>Expenses!E9</f>
        <v/>
      </c>
      <c r="F20" s="15">
        <f>SUM(C20:E20)</f>
        <v/>
      </c>
    </row>
    <row r="21">
      <c r="B21" s="4" t="inlineStr">
        <is>
          <t>Hosting &amp; infra</t>
        </is>
      </c>
      <c r="C21" s="11">
        <f>Expenses!C11</f>
        <v/>
      </c>
      <c r="D21" s="11">
        <f>Expenses!D11</f>
        <v/>
      </c>
      <c r="E21" s="11">
        <f>Expenses!E11</f>
        <v/>
      </c>
      <c r="F21" s="15">
        <f>SUM(C21:E21)</f>
        <v/>
      </c>
    </row>
    <row r="22">
      <c r="B22" s="4" t="inlineStr">
        <is>
          <t>CME data license</t>
        </is>
      </c>
      <c r="C22" s="11">
        <f>Expenses!C12</f>
        <v/>
      </c>
      <c r="D22" s="11">
        <f>Expenses!D12</f>
        <v/>
      </c>
      <c r="E22" s="11">
        <f>Expenses!E12</f>
        <v/>
      </c>
      <c r="F22" s="15">
        <f>SUM(C22:E22)</f>
        <v/>
      </c>
    </row>
    <row r="23">
      <c r="B23" s="4" t="inlineStr">
        <is>
          <t>Customer acquisition (CAC × new partners)</t>
        </is>
      </c>
      <c r="C23" s="11">
        <f>Expenses!C15</f>
        <v/>
      </c>
      <c r="D23" s="11">
        <f>Expenses!D15</f>
        <v/>
      </c>
      <c r="E23" s="11">
        <f>Expenses!E15</f>
        <v/>
      </c>
      <c r="F23" s="15">
        <f>SUM(C23:E23)</f>
        <v/>
      </c>
    </row>
    <row r="24">
      <c r="B24" s="4" t="inlineStr">
        <is>
          <t>Baseline marketing &amp; promotion</t>
        </is>
      </c>
      <c r="C24" s="11">
        <f>Expenses!C16</f>
        <v/>
      </c>
      <c r="D24" s="11">
        <f>Expenses!D16</f>
        <v/>
      </c>
      <c r="E24" s="11">
        <f>Expenses!E16</f>
        <v/>
      </c>
      <c r="F24" s="15">
        <f>SUM(C24:E24)</f>
        <v/>
      </c>
    </row>
    <row r="25">
      <c r="B25" s="4" t="inlineStr">
        <is>
          <t>Legal / compliance</t>
        </is>
      </c>
      <c r="C25" s="11">
        <f>Expenses!C18</f>
        <v/>
      </c>
      <c r="D25" s="11">
        <f>Expenses!D18</f>
        <v/>
      </c>
      <c r="E25" s="11">
        <f>Expenses!E18</f>
        <v/>
      </c>
      <c r="F25" s="15">
        <f>SUM(C25:E25)</f>
        <v/>
      </c>
    </row>
    <row r="26">
      <c r="B26" s="4" t="inlineStr">
        <is>
          <t>Audit costs</t>
        </is>
      </c>
      <c r="C26" s="11">
        <f>Expenses!C19</f>
        <v/>
      </c>
      <c r="D26" s="11">
        <f>Expenses!D19</f>
        <v/>
      </c>
      <c r="E26" s="11">
        <f>Expenses!E19</f>
        <v/>
      </c>
      <c r="F26" s="15">
        <f>SUM(C26:E26)</f>
        <v/>
      </c>
    </row>
    <row r="27">
      <c r="B27" s="4" t="inlineStr">
        <is>
          <t>Yield paid to staked CURD holders</t>
        </is>
      </c>
      <c r="C27" s="11">
        <f>Expenses!C21</f>
        <v/>
      </c>
      <c r="D27" s="11">
        <f>Expenses!D21</f>
        <v/>
      </c>
      <c r="E27" s="11">
        <f>Expenses!E21</f>
        <v/>
      </c>
      <c r="F27" s="15">
        <f>SUM(C27:E27)</f>
        <v/>
      </c>
    </row>
    <row r="28">
      <c r="B28" s="4" t="inlineStr">
        <is>
          <t>CME seed (one-time)</t>
        </is>
      </c>
      <c r="C28" s="11">
        <f>Expenses!C23</f>
        <v/>
      </c>
      <c r="D28" s="11">
        <f>Expenses!D23</f>
        <v/>
      </c>
      <c r="E28" s="11">
        <f>Expenses!E23</f>
        <v/>
      </c>
      <c r="F28" s="15">
        <f>SUM(C28:E28)</f>
        <v/>
      </c>
    </row>
    <row r="29">
      <c r="B29" s="4" t="inlineStr">
        <is>
          <t>Liquidity tranche (one-time)</t>
        </is>
      </c>
      <c r="C29" s="11">
        <f>Expenses!C24</f>
        <v/>
      </c>
      <c r="D29" s="11">
        <f>Expenses!D24</f>
        <v/>
      </c>
      <c r="E29" s="11">
        <f>Expenses!E24</f>
        <v/>
      </c>
      <c r="F29" s="15">
        <f>SUM(C29:E29)</f>
        <v/>
      </c>
    </row>
    <row r="30">
      <c r="B30" s="20" t="inlineStr">
        <is>
          <t>TOTAL EXPENSES</t>
        </is>
      </c>
      <c r="C30" s="13">
        <f>Expenses!C27</f>
        <v/>
      </c>
      <c r="D30" s="13">
        <f>Expenses!D27</f>
        <v/>
      </c>
      <c r="E30" s="13">
        <f>Expenses!E27</f>
        <v/>
      </c>
      <c r="F30" s="13">
        <f>SUM(C30:E30)</f>
        <v/>
      </c>
    </row>
    <row r="32">
      <c r="B32" s="6" t="inlineStr">
        <is>
          <t>NET RESULTS</t>
        </is>
      </c>
    </row>
    <row r="33">
      <c r="B33" s="3" t="inlineStr">
        <is>
          <t>NET OPERATING (Op Revenue − Total Expenses)</t>
        </is>
      </c>
      <c r="C33" s="16">
        <f>C13-C30</f>
        <v/>
      </c>
      <c r="D33" s="16">
        <f>D13-D30</f>
        <v/>
      </c>
      <c r="E33" s="16">
        <f>E13-E30</f>
        <v/>
      </c>
      <c r="F33" s="16">
        <f>SUM(C33:E33)</f>
        <v/>
      </c>
    </row>
    <row r="34">
      <c r="B34" s="17" t="inlineStr">
        <is>
          <t>NET WITH GRANT (Total Inflows − Total Expenses)</t>
        </is>
      </c>
      <c r="C34" s="18">
        <f>C15-C30</f>
        <v/>
      </c>
      <c r="D34" s="18">
        <f>D15-D30</f>
        <v/>
      </c>
      <c r="E34" s="18">
        <f>E15-E30</f>
        <v/>
      </c>
      <c r="F34" s="18">
        <f>SUM(C34:E34)</f>
        <v/>
      </c>
    </row>
  </sheetData>
  <mergeCells count="3">
    <mergeCell ref="B32:F32"/>
    <mergeCell ref="B17:F17"/>
    <mergeCell ref="B6:F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2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" t="inlineStr">
        <is>
          <t>CASHFLOW — Year 1 (May 2026 – Apr 2027)</t>
        </is>
      </c>
    </row>
    <row r="3">
      <c r="B3" s="2" t="inlineStr">
        <is>
          <t>Monthly. Grant tranches per milestone schedule.</t>
        </is>
      </c>
    </row>
    <row r="5">
      <c r="B5" s="5" t="inlineStr">
        <is>
          <t>Line Item</t>
        </is>
      </c>
      <c r="C5" s="5" t="inlineStr">
        <is>
          <t>May</t>
        </is>
      </c>
      <c r="D5" s="5" t="inlineStr">
        <is>
          <t>Jun</t>
        </is>
      </c>
      <c r="E5" s="5" t="inlineStr">
        <is>
          <t>Jul</t>
        </is>
      </c>
      <c r="F5" s="5" t="inlineStr">
        <is>
          <t>Aug</t>
        </is>
      </c>
      <c r="G5" s="5" t="inlineStr">
        <is>
          <t>Sep</t>
        </is>
      </c>
      <c r="H5" s="5" t="inlineStr">
        <is>
          <t>Oct</t>
        </is>
      </c>
      <c r="I5" s="5" t="inlineStr">
        <is>
          <t>Nov</t>
        </is>
      </c>
      <c r="J5" s="5" t="inlineStr">
        <is>
          <t>Dec</t>
        </is>
      </c>
      <c r="K5" s="5" t="inlineStr">
        <is>
          <t>Jan</t>
        </is>
      </c>
      <c r="L5" s="5" t="inlineStr">
        <is>
          <t>Feb</t>
        </is>
      </c>
      <c r="M5" s="5" t="inlineStr">
        <is>
          <t>Mar</t>
        </is>
      </c>
      <c r="N5" s="5" t="inlineStr">
        <is>
          <t>Apr</t>
        </is>
      </c>
      <c r="O5" s="5" t="inlineStr">
        <is>
          <t>Total Y1</t>
        </is>
      </c>
    </row>
    <row r="6">
      <c r="B6" s="6" t="inlineStr">
        <is>
          <t>INFLOWS</t>
        </is>
      </c>
    </row>
    <row r="7">
      <c r="B7" s="4" t="inlineStr">
        <is>
          <t>Grant tranche</t>
        </is>
      </c>
      <c r="C7" s="11" t="n">
        <v>20000</v>
      </c>
      <c r="D7" s="11" t="n">
        <v>0</v>
      </c>
      <c r="E7" s="11" t="n">
        <v>20000</v>
      </c>
      <c r="F7" s="11" t="n">
        <v>0</v>
      </c>
      <c r="G7" s="11" t="n">
        <v>0</v>
      </c>
      <c r="H7" s="11" t="n">
        <v>20000</v>
      </c>
      <c r="I7" s="11" t="n">
        <v>0</v>
      </c>
      <c r="J7" s="11" t="n">
        <v>0</v>
      </c>
      <c r="K7" s="11" t="n">
        <v>20000</v>
      </c>
      <c r="L7" s="11" t="n">
        <v>0</v>
      </c>
      <c r="M7" s="11" t="n">
        <v>50000</v>
      </c>
      <c r="N7" s="11" t="n">
        <v>20000</v>
      </c>
      <c r="O7" s="15">
        <f>SUM(C7:N7)</f>
        <v/>
      </c>
    </row>
    <row r="8">
      <c r="B8" s="4" t="inlineStr">
        <is>
          <t>Operating revenue (illustrative ramp)</t>
        </is>
      </c>
      <c r="C8" s="11" t="n">
        <v>200</v>
      </c>
      <c r="D8" s="11" t="n">
        <v>400</v>
      </c>
      <c r="E8" s="11" t="n">
        <v>800</v>
      </c>
      <c r="F8" s="11" t="n">
        <v>1500</v>
      </c>
      <c r="G8" s="11" t="n">
        <v>2500</v>
      </c>
      <c r="H8" s="11" t="n">
        <v>4000</v>
      </c>
      <c r="I8" s="11" t="n">
        <v>6000</v>
      </c>
      <c r="J8" s="11" t="n">
        <v>8000</v>
      </c>
      <c r="K8" s="11" t="n">
        <v>10000</v>
      </c>
      <c r="L8" s="11" t="n">
        <v>12000</v>
      </c>
      <c r="M8" s="11" t="n">
        <v>14000</v>
      </c>
      <c r="N8" s="11" t="n">
        <v>16000</v>
      </c>
      <c r="O8" s="15">
        <f>SUM(C8:N8)</f>
        <v/>
      </c>
    </row>
    <row r="9">
      <c r="B9" s="20" t="inlineStr">
        <is>
          <t>TOTAL INFLOWS</t>
        </is>
      </c>
      <c r="C9" s="13">
        <f>C7+C8</f>
        <v/>
      </c>
      <c r="D9" s="13">
        <f>D7+D8</f>
        <v/>
      </c>
      <c r="E9" s="13">
        <f>E7+E8</f>
        <v/>
      </c>
      <c r="F9" s="13">
        <f>F7+F8</f>
        <v/>
      </c>
      <c r="G9" s="13">
        <f>G7+G8</f>
        <v/>
      </c>
      <c r="H9" s="13">
        <f>H7+H8</f>
        <v/>
      </c>
      <c r="I9" s="13">
        <f>I7+I8</f>
        <v/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SUM(C9:N9)</f>
        <v/>
      </c>
    </row>
    <row r="11">
      <c r="B11" s="6" t="inlineStr">
        <is>
          <t>OUTFLOWS</t>
        </is>
      </c>
    </row>
    <row r="12">
      <c r="B12" s="4" t="inlineStr">
        <is>
          <t>Founder pay</t>
        </is>
      </c>
      <c r="C12" s="11">
        <f>Assumptions!C43/12</f>
        <v/>
      </c>
      <c r="D12" s="11">
        <f>Assumptions!C43/12</f>
        <v/>
      </c>
      <c r="E12" s="11">
        <f>Assumptions!C43/12</f>
        <v/>
      </c>
      <c r="F12" s="11">
        <f>Assumptions!C43/12</f>
        <v/>
      </c>
      <c r="G12" s="11">
        <f>Assumptions!C43/12</f>
        <v/>
      </c>
      <c r="H12" s="11">
        <f>Assumptions!C43/12</f>
        <v/>
      </c>
      <c r="I12" s="11">
        <f>Assumptions!C43/12</f>
        <v/>
      </c>
      <c r="J12" s="11">
        <f>Assumptions!C43/12</f>
        <v/>
      </c>
      <c r="K12" s="11">
        <f>Assumptions!C43/12</f>
        <v/>
      </c>
      <c r="L12" s="11">
        <f>Assumptions!C43/12</f>
        <v/>
      </c>
      <c r="M12" s="11">
        <f>Assumptions!C43/12</f>
        <v/>
      </c>
      <c r="N12" s="11">
        <f>Assumptions!C43/12</f>
        <v/>
      </c>
      <c r="O12" s="15">
        <f>SUM(C12:N12)</f>
        <v/>
      </c>
    </row>
    <row r="13">
      <c r="B13" s="4" t="inlineStr">
        <is>
          <t>Contractor</t>
        </is>
      </c>
      <c r="C13" s="11">
        <f>Assumptions!C44/12</f>
        <v/>
      </c>
      <c r="D13" s="11">
        <f>Assumptions!C44/12</f>
        <v/>
      </c>
      <c r="E13" s="11">
        <f>Assumptions!C44/12</f>
        <v/>
      </c>
      <c r="F13" s="11">
        <f>Assumptions!C44/12</f>
        <v/>
      </c>
      <c r="G13" s="11">
        <f>Assumptions!C44/12</f>
        <v/>
      </c>
      <c r="H13" s="11">
        <f>Assumptions!C44/12</f>
        <v/>
      </c>
      <c r="I13" s="11">
        <f>Assumptions!C44/12</f>
        <v/>
      </c>
      <c r="J13" s="11">
        <f>Assumptions!C44/12</f>
        <v/>
      </c>
      <c r="K13" s="11">
        <f>Assumptions!C44/12</f>
        <v/>
      </c>
      <c r="L13" s="11">
        <f>Assumptions!C44/12</f>
        <v/>
      </c>
      <c r="M13" s="11">
        <f>Assumptions!C44/12</f>
        <v/>
      </c>
      <c r="N13" s="11">
        <f>Assumptions!C44/12</f>
        <v/>
      </c>
      <c r="O13" s="15">
        <f>SUM(C13:N13)</f>
        <v/>
      </c>
    </row>
    <row r="14">
      <c r="B14" s="4" t="inlineStr">
        <is>
          <t>Ops stipend</t>
        </is>
      </c>
      <c r="C14" s="11">
        <f>Assumptions!C45/12</f>
        <v/>
      </c>
      <c r="D14" s="11">
        <f>Assumptions!C45/12</f>
        <v/>
      </c>
      <c r="E14" s="11">
        <f>Assumptions!C45/12</f>
        <v/>
      </c>
      <c r="F14" s="11">
        <f>Assumptions!C45/12</f>
        <v/>
      </c>
      <c r="G14" s="11">
        <f>Assumptions!C45/12</f>
        <v/>
      </c>
      <c r="H14" s="11">
        <f>Assumptions!C45/12</f>
        <v/>
      </c>
      <c r="I14" s="11">
        <f>Assumptions!C45/12</f>
        <v/>
      </c>
      <c r="J14" s="11">
        <f>Assumptions!C45/12</f>
        <v/>
      </c>
      <c r="K14" s="11">
        <f>Assumptions!C45/12</f>
        <v/>
      </c>
      <c r="L14" s="11">
        <f>Assumptions!C45/12</f>
        <v/>
      </c>
      <c r="M14" s="11">
        <f>Assumptions!C45/12</f>
        <v/>
      </c>
      <c r="N14" s="11">
        <f>Assumptions!C45/12</f>
        <v/>
      </c>
      <c r="O14" s="15">
        <f>SUM(C14:N14)</f>
        <v/>
      </c>
    </row>
    <row r="15">
      <c r="B15" s="4" t="inlineStr">
        <is>
          <t>Hosting &amp; infra</t>
        </is>
      </c>
      <c r="C15" s="11">
        <f>Assumptions!C46/12</f>
        <v/>
      </c>
      <c r="D15" s="11">
        <f>Assumptions!C46/12</f>
        <v/>
      </c>
      <c r="E15" s="11">
        <f>Assumptions!C46/12</f>
        <v/>
      </c>
      <c r="F15" s="11">
        <f>Assumptions!C46/12</f>
        <v/>
      </c>
      <c r="G15" s="11">
        <f>Assumptions!C46/12</f>
        <v/>
      </c>
      <c r="H15" s="11">
        <f>Assumptions!C46/12</f>
        <v/>
      </c>
      <c r="I15" s="11">
        <f>Assumptions!C46/12</f>
        <v/>
      </c>
      <c r="J15" s="11">
        <f>Assumptions!C46/12</f>
        <v/>
      </c>
      <c r="K15" s="11">
        <f>Assumptions!C46/12</f>
        <v/>
      </c>
      <c r="L15" s="11">
        <f>Assumptions!C46/12</f>
        <v/>
      </c>
      <c r="M15" s="11">
        <f>Assumptions!C46/12</f>
        <v/>
      </c>
      <c r="N15" s="11">
        <f>Assumptions!C46/12</f>
        <v/>
      </c>
      <c r="O15" s="15">
        <f>SUM(C15:N15)</f>
        <v/>
      </c>
    </row>
    <row r="16">
      <c r="B16" s="4" t="inlineStr">
        <is>
          <t>Customer acquisition (CAC)</t>
        </is>
      </c>
      <c r="C16" s="11" t="n">
        <v>200</v>
      </c>
      <c r="D16" s="11" t="n">
        <v>200</v>
      </c>
      <c r="E16" s="11" t="n">
        <v>200</v>
      </c>
      <c r="F16" s="11" t="n">
        <v>250</v>
      </c>
      <c r="G16" s="11" t="n">
        <v>250</v>
      </c>
      <c r="H16" s="11" t="n">
        <v>250</v>
      </c>
      <c r="I16" s="11" t="n">
        <v>300</v>
      </c>
      <c r="J16" s="11" t="n">
        <v>300</v>
      </c>
      <c r="K16" s="11" t="n">
        <v>300</v>
      </c>
      <c r="L16" s="11" t="n">
        <v>300</v>
      </c>
      <c r="M16" s="11" t="n">
        <v>300</v>
      </c>
      <c r="N16" s="11" t="n">
        <v>300</v>
      </c>
      <c r="O16" s="15">
        <f>SUM(C16:N16)</f>
        <v/>
      </c>
    </row>
    <row r="17">
      <c r="B17" s="4" t="inlineStr">
        <is>
          <t>Baseline marketing</t>
        </is>
      </c>
      <c r="C17" s="11" t="n">
        <v>3000</v>
      </c>
      <c r="D17" s="11" t="n">
        <v>3000</v>
      </c>
      <c r="E17" s="11" t="n">
        <v>3000</v>
      </c>
      <c r="F17" s="11" t="n">
        <v>2500</v>
      </c>
      <c r="G17" s="11" t="n">
        <v>2500</v>
      </c>
      <c r="H17" s="11" t="n">
        <v>2500</v>
      </c>
      <c r="I17" s="11" t="n">
        <v>2500</v>
      </c>
      <c r="J17" s="11" t="n">
        <v>2500</v>
      </c>
      <c r="K17" s="11" t="n">
        <v>2500</v>
      </c>
      <c r="L17" s="11" t="n">
        <v>2500</v>
      </c>
      <c r="M17" s="11" t="n">
        <v>2500</v>
      </c>
      <c r="N17" s="11" t="n">
        <v>2500</v>
      </c>
      <c r="O17" s="15">
        <f>SUM(C17:N17)</f>
        <v/>
      </c>
    </row>
    <row r="18">
      <c r="B18" s="4" t="inlineStr">
        <is>
          <t>Legal / compliance</t>
        </is>
      </c>
      <c r="C18" s="11" t="n">
        <v>500</v>
      </c>
      <c r="D18" s="11" t="n">
        <v>500</v>
      </c>
      <c r="E18" s="11" t="n">
        <v>0</v>
      </c>
      <c r="F18" s="11" t="n">
        <v>1000</v>
      </c>
      <c r="G18" s="11" t="n">
        <v>500</v>
      </c>
      <c r="H18" s="11" t="n">
        <v>0</v>
      </c>
      <c r="I18" s="11" t="n">
        <v>1000</v>
      </c>
      <c r="J18" s="11" t="n">
        <v>500</v>
      </c>
      <c r="K18" s="11" t="n">
        <v>0</v>
      </c>
      <c r="L18" s="11" t="n">
        <v>500</v>
      </c>
      <c r="M18" s="11" t="n">
        <v>500</v>
      </c>
      <c r="N18" s="11" t="n">
        <v>0</v>
      </c>
      <c r="O18" s="15">
        <f>SUM(C18:N18)</f>
        <v/>
      </c>
    </row>
    <row r="19">
      <c r="B19" s="4" t="inlineStr">
        <is>
          <t>Audit costs</t>
        </is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6000</v>
      </c>
      <c r="N19" s="11" t="n">
        <v>0</v>
      </c>
      <c r="O19" s="15">
        <f>SUM(C19:N19)</f>
        <v/>
      </c>
    </row>
    <row r="20">
      <c r="B20" s="4" t="inlineStr">
        <is>
          <t>CME seed (one-time)</t>
        </is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8000</v>
      </c>
      <c r="O20" s="15">
        <f>SUM(C20:N20)</f>
        <v/>
      </c>
    </row>
    <row r="21">
      <c r="B21" s="4" t="inlineStr">
        <is>
          <t>Liquidity tranche</t>
        </is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20000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5">
        <f>SUM(C21:N21)</f>
        <v/>
      </c>
    </row>
    <row r="22">
      <c r="B22" s="20" t="inlineStr">
        <is>
          <t>TOTAL OUTFLOWS</t>
        </is>
      </c>
      <c r="C22" s="13">
        <f>C12+C13+C14+C15+C16+C17+C18+C19+C20+C21</f>
        <v/>
      </c>
      <c r="D22" s="13">
        <f>D12+D13+D14+D15+D16+D17+D18+D19+D20+D21</f>
        <v/>
      </c>
      <c r="E22" s="13">
        <f>E12+E13+E14+E15+E16+E17+E18+E19+E20+E21</f>
        <v/>
      </c>
      <c r="F22" s="13">
        <f>F12+F13+F14+F15+F16+F17+F18+F19+F20+F21</f>
        <v/>
      </c>
      <c r="G22" s="13">
        <f>G12+G13+G14+G15+G16+G17+G18+G19+G20+G21</f>
        <v/>
      </c>
      <c r="H22" s="13">
        <f>H12+H13+H14+H15+H16+H17+H18+H19+H20+H21</f>
        <v/>
      </c>
      <c r="I22" s="13">
        <f>I12+I13+I14+I15+I16+I17+I18+I19+I20+I21</f>
        <v/>
      </c>
      <c r="J22" s="13">
        <f>J12+J13+J14+J15+J16+J17+J18+J19+J20+J21</f>
        <v/>
      </c>
      <c r="K22" s="13">
        <f>K12+K13+K14+K15+K16+K17+K18+K19+K20+K21</f>
        <v/>
      </c>
      <c r="L22" s="13">
        <f>L12+L13+L14+L15+L16+L17+L18+L19+L20+L21</f>
        <v/>
      </c>
      <c r="M22" s="13">
        <f>M12+M13+M14+M15+M16+M17+M18+M19+M20+M21</f>
        <v/>
      </c>
      <c r="N22" s="13">
        <f>N12+N13+N14+N15+N16+N17+N18+N19+N20+N21</f>
        <v/>
      </c>
      <c r="O22" s="13">
        <f>SUM(C22:N22)</f>
        <v/>
      </c>
    </row>
    <row r="24">
      <c r="B24" s="6" t="inlineStr">
        <is>
          <t>NET CASHFLOW</t>
        </is>
      </c>
    </row>
    <row r="25">
      <c r="B25" s="3" t="inlineStr">
        <is>
          <t>NET MONTHLY (Inflow − Outflow)</t>
        </is>
      </c>
      <c r="C25" s="15">
        <f>C9-C22</f>
        <v/>
      </c>
      <c r="D25" s="15">
        <f>D9-D22</f>
        <v/>
      </c>
      <c r="E25" s="15">
        <f>E9-E22</f>
        <v/>
      </c>
      <c r="F25" s="15">
        <f>F9-F22</f>
        <v/>
      </c>
      <c r="G25" s="15">
        <f>G9-G22</f>
        <v/>
      </c>
      <c r="H25" s="15">
        <f>H9-H22</f>
        <v/>
      </c>
      <c r="I25" s="15">
        <f>I9-I22</f>
        <v/>
      </c>
      <c r="J25" s="15">
        <f>J9-J22</f>
        <v/>
      </c>
      <c r="K25" s="15">
        <f>K9-K22</f>
        <v/>
      </c>
      <c r="L25" s="15">
        <f>L9-L22</f>
        <v/>
      </c>
      <c r="M25" s="15">
        <f>M9-M22</f>
        <v/>
      </c>
      <c r="N25" s="15">
        <f>N9-N22</f>
        <v/>
      </c>
      <c r="O25" s="15">
        <f>SUM(C25:N25)</f>
        <v/>
      </c>
    </row>
    <row r="26">
      <c r="B26" s="17" t="inlineStr">
        <is>
          <t>CUMULATIVE CASH POSITION</t>
        </is>
      </c>
      <c r="C26" s="18">
        <f>C25</f>
        <v/>
      </c>
      <c r="D26" s="18">
        <f>C26+D25</f>
        <v/>
      </c>
      <c r="E26" s="18">
        <f>D26+E25</f>
        <v/>
      </c>
      <c r="F26" s="18">
        <f>E26+F25</f>
        <v/>
      </c>
      <c r="G26" s="18">
        <f>F26+G25</f>
        <v/>
      </c>
      <c r="H26" s="18">
        <f>G26+H25</f>
        <v/>
      </c>
      <c r="I26" s="18">
        <f>H26+I25</f>
        <v/>
      </c>
      <c r="J26" s="18">
        <f>I26+J25</f>
        <v/>
      </c>
      <c r="K26" s="18">
        <f>J26+K25</f>
        <v/>
      </c>
      <c r="L26" s="18">
        <f>K26+L25</f>
        <v/>
      </c>
      <c r="M26" s="18">
        <f>L26+M25</f>
        <v/>
      </c>
      <c r="N26" s="18">
        <f>M26+N25</f>
        <v/>
      </c>
      <c r="O26" s="18">
        <f>N26</f>
        <v/>
      </c>
    </row>
  </sheetData>
  <mergeCells count="3">
    <mergeCell ref="B11:O11"/>
    <mergeCell ref="B6:O6"/>
    <mergeCell ref="B24:O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8" customWidth="1" min="4" max="4"/>
    <col width="18" customWidth="1" min="5" max="5"/>
    <col width="36" customWidth="1" min="6" max="6"/>
  </cols>
  <sheetData>
    <row r="2">
      <c r="B2" s="1" t="inlineStr">
        <is>
          <t>BALANCE SHEET — Year-end positions</t>
        </is>
      </c>
    </row>
    <row r="3">
      <c r="B3" s="2" t="inlineStr">
        <is>
          <t>Snapshot of assets, liabilities, and protocol equity at end of each year. CURD-backing-per-token at the bottom.</t>
        </is>
      </c>
    </row>
    <row r="5">
      <c r="B5" s="5" t="inlineStr">
        <is>
          <t>Line Item</t>
        </is>
      </c>
      <c r="C5" s="5" t="inlineStr">
        <is>
          <t>Y1 End</t>
        </is>
      </c>
      <c r="D5" s="5" t="inlineStr">
        <is>
          <t>Y2 End</t>
        </is>
      </c>
      <c r="E5" s="5" t="inlineStr">
        <is>
          <t>Y3 End</t>
        </is>
      </c>
      <c r="F5" s="5" t="inlineStr">
        <is>
          <t>Notes</t>
        </is>
      </c>
    </row>
    <row r="6">
      <c r="B6" s="6" t="inlineStr">
        <is>
          <t>ASSETS</t>
        </is>
      </c>
    </row>
    <row r="7">
      <c r="B7" s="7" t="inlineStr">
        <is>
          <t>USDC treasury (cash + T-bill positions)</t>
        </is>
      </c>
      <c r="C7" s="11">
        <f>'Treasury Flow'!C18</f>
        <v/>
      </c>
      <c r="D7" s="11">
        <f>'Treasury Flow'!D18</f>
        <v/>
      </c>
      <c r="E7" s="11">
        <f>'Treasury Flow'!E18</f>
        <v/>
      </c>
      <c r="F7" s="2" t="inlineStr">
        <is>
          <t>Closing balance from Treasury Flow</t>
        </is>
      </c>
    </row>
    <row r="8">
      <c r="B8" s="7" t="inlineStr">
        <is>
          <t>Uniswap CURD/USDC LP position (USDC side)</t>
        </is>
      </c>
      <c r="C8" s="11" t="n">
        <v>10000</v>
      </c>
      <c r="D8" s="11" t="n">
        <v>12000</v>
      </c>
      <c r="E8" s="11" t="n">
        <v>18000</v>
      </c>
      <c r="F8" s="2" t="inlineStr">
        <is>
          <t>$20k LP seeded Y1 M6 from grant; appreciates with trading fees</t>
        </is>
      </c>
    </row>
    <row r="9">
      <c r="B9" s="7" t="inlineStr">
        <is>
          <t>CURD held in protocol treasury (face value @ $1)</t>
        </is>
      </c>
      <c r="C9" s="11">
        <f>Assumptions!C56</f>
        <v/>
      </c>
      <c r="D9" s="11">
        <f>Assumptions!D56</f>
        <v/>
      </c>
      <c r="E9" s="11">
        <f>Assumptions!E56</f>
        <v/>
      </c>
      <c r="F9" s="2" t="inlineStr">
        <is>
          <t>Conservative book value — market value rises w/ backing</t>
        </is>
      </c>
    </row>
    <row r="10">
      <c r="B10" s="12" t="inlineStr">
        <is>
          <t>TOTAL ASSETS</t>
        </is>
      </c>
      <c r="C10" s="13">
        <f>SUM(C7:C9)</f>
        <v/>
      </c>
      <c r="D10" s="13">
        <f>SUM(D7:D9)</f>
        <v/>
      </c>
      <c r="E10" s="13">
        <f>SUM(E7:E9)</f>
        <v/>
      </c>
      <c r="F10" s="2" t="inlineStr"/>
    </row>
    <row r="11">
      <c r="B11" s="6" t="inlineStr">
        <is>
          <t>LIABILITIES</t>
        </is>
      </c>
    </row>
    <row r="12">
      <c r="B12" s="7" t="inlineStr">
        <is>
          <t>Merchant float commitments</t>
        </is>
      </c>
      <c r="C12" s="11">
        <f>(Assumptions!C7+Assumptions!C8+Assumptions!C9+Assumptions!C10+Assumptions!C11)*1000</f>
        <v/>
      </c>
      <c r="D12" s="11">
        <f>(Assumptions!D7+Assumptions!D8+Assumptions!D9+Assumptions!D10+Assumptions!D11)*1000</f>
        <v/>
      </c>
      <c r="E12" s="11">
        <f>(Assumptions!E7+Assumptions!E8+Assumptions!E9+Assumptions!E10+Assumptions!E11)*1000</f>
        <v/>
      </c>
      <c r="F12" s="2">
        <f> total partners × $1,000 USD float owed back if returned</f>
        <v/>
      </c>
    </row>
    <row r="13">
      <c r="B13" s="7" t="inlineStr">
        <is>
          <t>Advisor vesting (CURD, unvested portion @ $1)</t>
        </is>
      </c>
      <c r="C13" s="11" t="n">
        <v>120000</v>
      </c>
      <c r="D13" s="11" t="n">
        <v>60000</v>
      </c>
      <c r="E13" s="11" t="n">
        <v>0</v>
      </c>
      <c r="F13" s="2" t="inlineStr">
        <is>
          <t>3 advisors × 50k CURD over 18mo w/ 3mo cliff</t>
        </is>
      </c>
    </row>
    <row r="14">
      <c r="B14" s="7" t="inlineStr">
        <is>
          <t>Founder performance reward (committed, unvested @ $1)</t>
        </is>
      </c>
      <c r="C14" s="11" t="n">
        <v>7500000</v>
      </c>
      <c r="D14" s="11" t="n">
        <v>11250000</v>
      </c>
      <c r="E14" s="11" t="n">
        <v>11250000</v>
      </c>
      <c r="F14" s="2" t="inlineStr">
        <is>
          <t>30M total tied to expansion tranches (A/B/C = 7.5M/11.25M/11.25M). See Tokenomics §3a.</t>
        </is>
      </c>
    </row>
    <row r="15">
      <c r="B15" s="7" t="inlineStr">
        <is>
          <t>Original founder allocation (20M, unvested portion)</t>
        </is>
      </c>
      <c r="C15" s="11" t="n">
        <v>14580000</v>
      </c>
      <c r="D15" s="11" t="n">
        <v>9580000</v>
      </c>
      <c r="E15" s="11" t="n">
        <v>4580000</v>
      </c>
      <c r="F15" s="2" t="inlineStr">
        <is>
          <t>20M @ 4-yr linear from Mar 25 2026 (FounderVestingWallet to be deployed)</t>
        </is>
      </c>
    </row>
    <row r="16">
      <c r="B16" s="7" t="inlineStr">
        <is>
          <t>Revenue share owed to ARB DAO (capped 1.5× grant)</t>
        </is>
      </c>
      <c r="C16" s="11">
        <f>MIN(225000,Revenue!C13*0.05)</f>
        <v/>
      </c>
      <c r="D16" s="11">
        <f>MIN(225000,Revenue!D13*0.05)</f>
        <v/>
      </c>
      <c r="E16" s="11">
        <f>MIN(225000,Revenue!E13*0.05)</f>
        <v/>
      </c>
      <c r="F16" s="2" t="inlineStr">
        <is>
          <t>5% of operating revenue, cumulative cap = $225k</t>
        </is>
      </c>
    </row>
    <row r="17">
      <c r="B17" s="12" t="inlineStr">
        <is>
          <t>TOTAL LIABILITIES</t>
        </is>
      </c>
      <c r="C17" s="13">
        <f>SUM(C12:C16)</f>
        <v/>
      </c>
      <c r="D17" s="13">
        <f>SUM(D12:D16)</f>
        <v/>
      </c>
      <c r="E17" s="13">
        <f>SUM(E12:E16)</f>
        <v/>
      </c>
      <c r="F17" s="2" t="inlineStr"/>
    </row>
    <row r="18">
      <c r="B18" s="6" t="inlineStr">
        <is>
          <t>PROTOCOL EQUITY</t>
        </is>
      </c>
    </row>
    <row r="19">
      <c r="B19" s="21" t="inlineStr">
        <is>
          <t>Protocol equity (Assets − Liabilities)</t>
        </is>
      </c>
      <c r="C19" s="18">
        <f>C10-C17</f>
        <v/>
      </c>
      <c r="D19" s="18">
        <f>D10-D17</f>
        <v/>
      </c>
      <c r="E19" s="18">
        <f>E10-E17</f>
        <v/>
      </c>
      <c r="F19" s="2" t="inlineStr">
        <is>
          <t>Net protocol value — supports CURD economic backing</t>
        </is>
      </c>
    </row>
    <row r="20">
      <c r="B20" s="6" t="inlineStr">
        <is>
          <t>CURD CIRCULATING &amp; BACKING</t>
        </is>
      </c>
    </row>
    <row r="21">
      <c r="B21" s="7" t="inlineStr">
        <is>
          <t>CURD in circulation (= total supply − treasury held)</t>
        </is>
      </c>
      <c r="C21" s="19">
        <f>Assumptions!C55-Assumptions!C56</f>
        <v/>
      </c>
      <c r="D21" s="19">
        <f>Assumptions!D55-Assumptions!D56</f>
        <v/>
      </c>
      <c r="E21" s="19">
        <f>Assumptions!E55-Assumptions!E56</f>
        <v/>
      </c>
      <c r="F21" s="2" t="inlineStr">
        <is>
          <t>From Assumptions sheet</t>
        </is>
      </c>
    </row>
    <row r="22">
      <c r="B22" s="21" t="inlineStr">
        <is>
          <t>USDC backing per circulating CURD</t>
        </is>
      </c>
      <c r="C22" s="22">
        <f>(C7+C8)/C21</f>
        <v/>
      </c>
      <c r="D22" s="22">
        <f>(D7+D8)/D21</f>
        <v/>
      </c>
      <c r="E22" s="22">
        <f>(E7+E8)/E21</f>
        <v/>
      </c>
      <c r="F22" s="2">
        <f> (USDC + LP USDC) / circulating CURD</f>
        <v/>
      </c>
    </row>
    <row r="23">
      <c r="B23" s="14" t="inlineStr">
        <is>
          <t>Implied CURD floor value (USDC backing + nominal $1)</t>
        </is>
      </c>
      <c r="C23" s="23">
        <f>MAX(1,1+C22)</f>
        <v/>
      </c>
      <c r="D23" s="23">
        <f>MAX(1,1+D22)</f>
        <v/>
      </c>
      <c r="E23" s="23">
        <f>MAX(1,1+E22)</f>
        <v/>
      </c>
      <c r="F23" s="2" t="inlineStr">
        <is>
          <t>Conservative floor = $1 par + USDC backing</t>
        </is>
      </c>
    </row>
    <row r="25">
      <c r="B25" s="6" t="inlineStr">
        <is>
          <t>MEMO — CONTINGENT / DISCLOSED (not in totals above)</t>
        </is>
      </c>
    </row>
    <row r="26">
      <c r="B26" s="7" t="inlineStr">
        <is>
          <t>Authorized future supply expansion (max)</t>
        </is>
      </c>
      <c r="C26" s="19" t="n">
        <v>200000000</v>
      </c>
      <c r="D26" s="19" t="n">
        <v>200000000</v>
      </c>
      <c r="E26" s="19" t="n">
        <v>200000000</v>
      </c>
      <c r="F26" s="2" t="inlineStr">
        <is>
          <t>Governance-authorized mint, conditional on RWA growth triggers. Not yet exercised.</t>
        </is>
      </c>
    </row>
    <row r="27">
      <c r="B27" s="7" t="inlineStr">
        <is>
          <t>Founder performance reward — TOTAL pool (vested + unvested)</t>
        </is>
      </c>
      <c r="C27" s="19" t="n">
        <v>15000000</v>
      </c>
      <c r="D27" s="19" t="n">
        <v>15000000</v>
      </c>
      <c r="E27" s="19" t="n">
        <v>15000000</v>
      </c>
      <c r="F27" s="2" t="inlineStr">
        <is>
          <t>Liability above shows unvested portion only. Vested CURD is in circulation.</t>
        </is>
      </c>
    </row>
  </sheetData>
  <mergeCells count="5">
    <mergeCell ref="B6:F6"/>
    <mergeCell ref="B20:F20"/>
    <mergeCell ref="B11:F11"/>
    <mergeCell ref="B25:F25"/>
    <mergeCell ref="B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36" customWidth="1" min="6" max="6"/>
  </cols>
  <sheetData>
    <row r="2">
      <c r="B2" s="1" t="inlineStr">
        <is>
          <t>SCENARIO COMPARISON</t>
        </is>
      </c>
    </row>
    <row r="3">
      <c r="B3" s="2" t="inlineStr">
        <is>
          <t>Conservative / Base (current Assumptions) / Aggressive — same model, different assumptions.</t>
        </is>
      </c>
    </row>
    <row r="5">
      <c r="B5" s="5" t="inlineStr">
        <is>
          <t>Driver</t>
        </is>
      </c>
      <c r="C5" s="5" t="inlineStr">
        <is>
          <t>Conservative</t>
        </is>
      </c>
      <c r="D5" s="5" t="inlineStr">
        <is>
          <t>Base (current)</t>
        </is>
      </c>
      <c r="E5" s="5" t="inlineStr">
        <is>
          <t>Aggressive</t>
        </is>
      </c>
      <c r="F5" s="5" t="inlineStr">
        <is>
          <t>Notes</t>
        </is>
      </c>
    </row>
    <row r="6">
      <c r="B6" s="6" t="inlineStr">
        <is>
          <t>PARTNER COUNT (Year 3)</t>
        </is>
      </c>
    </row>
    <row r="7">
      <c r="B7" s="4" t="inlineStr">
        <is>
          <t>Total partners by EOY3</t>
        </is>
      </c>
      <c r="C7" s="19" t="n">
        <v>2000</v>
      </c>
      <c r="D7" s="19" t="n">
        <v>44400</v>
      </c>
      <c r="E7" s="19" t="n">
        <v>100000</v>
      </c>
      <c r="F7" s="2" t="inlineStr">
        <is>
          <t>Greg's base = 44,400; conservative if AI productivity disappoints</t>
        </is>
      </c>
    </row>
    <row r="8">
      <c r="B8" s="6" t="inlineStr">
        <is>
          <t>AVG GMV PER PARTNER (Y3)</t>
        </is>
      </c>
    </row>
    <row r="9">
      <c r="B9" s="4" t="inlineStr">
        <is>
          <t>Vendor monthly</t>
        </is>
      </c>
      <c r="C9" s="11" t="n">
        <v>5000</v>
      </c>
      <c r="D9" s="11" t="n">
        <v>7500</v>
      </c>
      <c r="E9" s="11" t="n">
        <v>12000</v>
      </c>
      <c r="F9" s="2" t="inlineStr">
        <is>
          <t>USD</t>
        </is>
      </c>
    </row>
    <row r="10">
      <c r="B10" s="4" t="inlineStr">
        <is>
          <t>Producer monthly</t>
        </is>
      </c>
      <c r="C10" s="11" t="n">
        <v>3500</v>
      </c>
      <c r="D10" s="11" t="n">
        <v>5000</v>
      </c>
      <c r="E10" s="11" t="n">
        <v>8000</v>
      </c>
      <c r="F10" s="2" t="inlineStr">
        <is>
          <t>USD</t>
        </is>
      </c>
    </row>
    <row r="11">
      <c r="B11" s="4" t="inlineStr">
        <is>
          <t>Processor monthly</t>
        </is>
      </c>
      <c r="C11" s="11" t="n">
        <v>6500</v>
      </c>
      <c r="D11" s="11" t="n">
        <v>9000</v>
      </c>
      <c r="E11" s="11" t="n">
        <v>15000</v>
      </c>
      <c r="F11" s="2" t="inlineStr">
        <is>
          <t>USD</t>
        </is>
      </c>
    </row>
    <row r="12">
      <c r="B12" s="4" t="inlineStr">
        <is>
          <t>Distributor monthly</t>
        </is>
      </c>
      <c r="C12" s="11" t="n">
        <v>10000</v>
      </c>
      <c r="D12" s="11" t="n">
        <v>13000</v>
      </c>
      <c r="E12" s="11" t="n">
        <v>22000</v>
      </c>
      <c r="F12" s="2" t="inlineStr">
        <is>
          <t>USD</t>
        </is>
      </c>
    </row>
    <row r="13">
      <c r="B13" s="4" t="inlineStr">
        <is>
          <t>Merchant monthly</t>
        </is>
      </c>
      <c r="C13" s="11" t="n">
        <v>3500</v>
      </c>
      <c r="D13" s="11" t="n">
        <v>7000</v>
      </c>
      <c r="E13" s="11" t="n">
        <v>12000</v>
      </c>
      <c r="F13" s="2" t="inlineStr">
        <is>
          <t>USD</t>
        </is>
      </c>
    </row>
    <row r="14">
      <c r="B14" s="6" t="inlineStr">
        <is>
          <t>SETTLEMENT INDEX (Y3)</t>
        </is>
      </c>
    </row>
    <row r="15">
      <c r="B15" s="4" t="inlineStr">
        <is>
          <t>Subscriber protocols</t>
        </is>
      </c>
      <c r="C15" s="19" t="n">
        <v>5</v>
      </c>
      <c r="D15" s="19" t="n">
        <v>10</v>
      </c>
      <c r="E15" s="19" t="n">
        <v>30</v>
      </c>
      <c r="F15" s="2" t="inlineStr"/>
    </row>
    <row r="16">
      <c r="B16" s="4" t="inlineStr">
        <is>
          <t>Avg monthly fee</t>
        </is>
      </c>
      <c r="C16" s="11" t="n">
        <v>500</v>
      </c>
      <c r="D16" s="11" t="n">
        <v>750</v>
      </c>
      <c r="E16" s="11" t="n">
        <v>1500</v>
      </c>
      <c r="F16" s="2" t="inlineStr"/>
    </row>
    <row r="17">
      <c r="B17" s="6" t="inlineStr">
        <is>
          <t>FX HEDGE PREMIUM</t>
        </is>
      </c>
    </row>
    <row r="18">
      <c r="B18" s="4" t="inlineStr">
        <is>
          <t>Premium % per settlement</t>
        </is>
      </c>
      <c r="C18" s="24" t="n">
        <v>0.002</v>
      </c>
      <c r="D18" s="24" t="n">
        <v>0.004</v>
      </c>
      <c r="E18" s="24" t="n">
        <v>0.005</v>
      </c>
      <c r="F18" s="2" t="inlineStr">
        <is>
          <t>20–50bps</t>
        </is>
      </c>
    </row>
    <row r="19">
      <c r="B19" s="6" t="inlineStr">
        <is>
          <t>CAC ASSUMPTIONS</t>
        </is>
      </c>
    </row>
    <row r="20">
      <c r="B20" s="4" t="inlineStr">
        <is>
          <t>CAC per partner Y3</t>
        </is>
      </c>
      <c r="C20" s="11" t="n">
        <v>40</v>
      </c>
      <c r="D20" s="11" t="n">
        <v>20</v>
      </c>
      <c r="E20" s="11" t="n">
        <v>12</v>
      </c>
      <c r="F20" s="2" t="inlineStr">
        <is>
          <t>AI productivity assumption</t>
        </is>
      </c>
    </row>
    <row r="21">
      <c r="B21" s="6" t="inlineStr"/>
    </row>
    <row r="22">
      <c r="B22" s="4" t="inlineStr">
        <is>
          <t>PROJECTED Y3 OPERATING REVENUE (rough)</t>
        </is>
      </c>
      <c r="C22" s="25" t="inlineStr">
        <is>
          <t>~$5M</t>
        </is>
      </c>
      <c r="D22" s="25" t="inlineStr">
        <is>
          <t>~$72M+</t>
        </is>
      </c>
      <c r="E22" s="25" t="inlineStr">
        <is>
          <t>~$200M</t>
        </is>
      </c>
      <c r="F22" s="2" t="inlineStr">
        <is>
          <t>Order-of-magnitude only</t>
        </is>
      </c>
    </row>
    <row r="23">
      <c r="B23" s="4" t="inlineStr">
        <is>
          <t>PROJECTED Y3 NET (rough)</t>
        </is>
      </c>
      <c r="C23" s="25" t="inlineStr">
        <is>
          <t>~$3M</t>
        </is>
      </c>
      <c r="D23" s="25" t="inlineStr">
        <is>
          <t>~$68M+</t>
        </is>
      </c>
      <c r="E23" s="25" t="inlineStr">
        <is>
          <t>~$190M</t>
        </is>
      </c>
      <c r="F23" s="2" t="inlineStr">
        <is>
          <t>T-bill yield adds upside in all scenarios</t>
        </is>
      </c>
    </row>
  </sheetData>
  <mergeCells count="6">
    <mergeCell ref="B21:F21"/>
    <mergeCell ref="B6:F6"/>
    <mergeCell ref="B19:F19"/>
    <mergeCell ref="B14:F14"/>
    <mergeCell ref="B8:F8"/>
    <mergeCell ref="B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2">
      <c r="B2" s="1" t="inlineStr">
        <is>
          <t>CURD TREASURY — allocations &amp; movements</t>
        </is>
      </c>
    </row>
    <row r="3">
      <c r="B3" s="2" t="inlineStr">
        <is>
          <t>Total supply: 200,000,000 CURD. Tracks where each pool sits.</t>
        </is>
      </c>
    </row>
    <row r="5">
      <c r="B5" s="5" t="inlineStr">
        <is>
          <t>Allocation</t>
        </is>
      </c>
      <c r="C5" s="5" t="inlineStr">
        <is>
          <t>Y1 End</t>
        </is>
      </c>
      <c r="D5" s="5" t="inlineStr">
        <is>
          <t>Y2 End</t>
        </is>
      </c>
      <c r="E5" s="5" t="inlineStr">
        <is>
          <t>Y3 End</t>
        </is>
      </c>
      <c r="F5" s="5" t="inlineStr">
        <is>
          <t>Notes</t>
        </is>
      </c>
    </row>
    <row r="6">
      <c r="B6" s="6" t="inlineStr">
        <is>
          <t>ON-CHAIN POOLS (existing)</t>
        </is>
      </c>
    </row>
    <row r="7">
      <c r="B7" s="4" t="inlineStr">
        <is>
          <t>Treasury (Gnosis Safe)</t>
        </is>
      </c>
      <c r="C7" s="19" t="n">
        <v>165000000</v>
      </c>
      <c r="D7" s="19" t="n">
        <v>160000000</v>
      </c>
      <c r="E7" s="19" t="n">
        <v>155000000</v>
      </c>
      <c r="F7" s="2" t="inlineStr">
        <is>
          <t>Decreases as advisor vesting + LP seeding</t>
        </is>
      </c>
    </row>
    <row r="8">
      <c r="B8" s="4" t="inlineStr">
        <is>
          <t>BootstrapYieldPool</t>
        </is>
      </c>
      <c r="C8" s="19" t="n">
        <v>5000000</v>
      </c>
      <c r="D8" s="19" t="n">
        <v>4500000</v>
      </c>
      <c r="E8" s="19" t="n">
        <v>4000000</v>
      </c>
      <c r="F8" s="2" t="inlineStr">
        <is>
          <t>Decreases as stakers earn yield</t>
        </is>
      </c>
    </row>
    <row r="9">
      <c r="B9" s="4" t="inlineStr">
        <is>
          <t>CurdDirectSale (loaded)</t>
        </is>
      </c>
      <c r="C9" s="19" t="n">
        <v>9900000</v>
      </c>
      <c r="D9" s="19" t="n">
        <v>8500000</v>
      </c>
      <c r="E9" s="19" t="n">
        <v>3000000</v>
      </c>
      <c r="F9" s="2" t="inlineStr">
        <is>
          <t>Sold to direct buyers — see flag below</t>
        </is>
      </c>
    </row>
    <row r="10">
      <c r="B10" s="4" t="inlineStr">
        <is>
          <t>ProjectSale + Commerce NFT</t>
        </is>
      </c>
      <c r="C10" s="19" t="n">
        <v>0</v>
      </c>
      <c r="D10" s="19" t="n">
        <v>0</v>
      </c>
      <c r="E10" s="19" t="n">
        <v>0</v>
      </c>
      <c r="F10" s="2" t="inlineStr">
        <is>
          <t>Operational, doesn't hold balance</t>
        </is>
      </c>
    </row>
    <row r="11">
      <c r="B11" s="6" t="inlineStr">
        <is>
          <t>PROPOSED NEW ALLOCATIONS</t>
        </is>
      </c>
    </row>
    <row r="12">
      <c r="B12" s="4" t="inlineStr">
        <is>
          <t>Advisor vesting (3 × 50k)</t>
        </is>
      </c>
      <c r="C12" s="19" t="n">
        <v>150000</v>
      </c>
      <c r="D12" s="19" t="n">
        <v>100000</v>
      </c>
      <c r="E12" s="19" t="n">
        <v>50000</v>
      </c>
      <c r="F12" s="2" t="inlineStr">
        <is>
          <t>18-mo vesting w/ 3-mo cliff</t>
        </is>
      </c>
    </row>
    <row r="13">
      <c r="B13" s="4" t="inlineStr">
        <is>
          <t>Uniswap CURD/USDC LP</t>
        </is>
      </c>
      <c r="C13" s="19" t="n">
        <v>3000000</v>
      </c>
      <c r="D13" s="19" t="n">
        <v>3000000</v>
      </c>
      <c r="E13" s="19" t="n">
        <v>3000000</v>
      </c>
      <c r="F13" s="2" t="inlineStr">
        <is>
          <t>Locked min 12 months from Y1 M6</t>
        </is>
      </c>
    </row>
    <row r="14">
      <c r="B14" s="4" t="inlineStr">
        <is>
          <t>FxStabilityReserve (USDC)</t>
        </is>
      </c>
      <c r="C14" s="19" t="n">
        <v>0</v>
      </c>
      <c r="D14" s="19" t="n">
        <v>50000</v>
      </c>
      <c r="E14" s="19" t="n">
        <v>150000</v>
      </c>
      <c r="F14" s="2" t="inlineStr">
        <is>
          <t>Premium-funded over time</t>
        </is>
      </c>
    </row>
    <row r="15">
      <c r="B15" s="6" t="inlineStr">
        <is>
          <t>ORIGINAL FOUNDER 20M (retro-vesting via FounderVestingWallet)</t>
        </is>
      </c>
    </row>
    <row r="16">
      <c r="B16" s="4" t="inlineStr">
        <is>
          <t>Founder original — vested cumulative</t>
        </is>
      </c>
      <c r="C16" s="19" t="n">
        <v>5420000</v>
      </c>
      <c r="D16" s="19" t="n">
        <v>10420000</v>
      </c>
      <c r="E16" s="19" t="n">
        <v>15420000</v>
      </c>
      <c r="F16" s="2" t="inlineStr">
        <is>
          <t>20M @ 4-yr linear from Mar 25 2026 (deployment pending)</t>
        </is>
      </c>
    </row>
    <row r="17">
      <c r="B17" s="4" t="inlineStr">
        <is>
          <t>Founder original — unvested (= liability)</t>
        </is>
      </c>
      <c r="C17" s="19" t="n">
        <v>14580000</v>
      </c>
      <c r="D17" s="19" t="n">
        <v>9580000</v>
      </c>
      <c r="E17" s="19" t="n">
        <v>4580000</v>
      </c>
      <c r="F17" s="2" t="inlineStr">
        <is>
          <t>On Balance Sheet as liability until vested</t>
        </is>
      </c>
    </row>
    <row r="18">
      <c r="B18" s="6" t="inlineStr">
        <is>
          <t>FOUNDER PERFORMANCE REWARD (30M, tied to expansion tranches)</t>
        </is>
      </c>
    </row>
    <row r="19">
      <c r="B19" s="4" t="inlineStr">
        <is>
          <t>Tranche A — 7.5M (15% of 50M expansion)</t>
        </is>
      </c>
      <c r="C19" s="19" t="n">
        <v>0</v>
      </c>
      <c r="D19" s="19" t="n">
        <v>7500000</v>
      </c>
      <c r="E19" s="19" t="n">
        <v>7500000</v>
      </c>
      <c r="F19" s="2" t="inlineStr">
        <is>
          <t>Trigger: 5K partners + $250M GMV</t>
        </is>
      </c>
    </row>
    <row r="20">
      <c r="B20" s="4" t="inlineStr">
        <is>
          <t>Tranche B — 11.25M (15% of 75M expansion)</t>
        </is>
      </c>
      <c r="C20" s="19" t="n">
        <v>0</v>
      </c>
      <c r="D20" s="19" t="n">
        <v>0</v>
      </c>
      <c r="E20" s="19" t="n">
        <v>11250000</v>
      </c>
      <c r="F20" s="2" t="inlineStr">
        <is>
          <t>Trigger: 25K partners + $1B GMV</t>
        </is>
      </c>
    </row>
    <row r="21">
      <c r="B21" s="4" t="inlineStr">
        <is>
          <t>Tranche C — 11.25M (15% of 75M expansion)</t>
        </is>
      </c>
      <c r="C21" s="19" t="n">
        <v>0</v>
      </c>
      <c r="D21" s="19" t="n">
        <v>0</v>
      </c>
      <c r="E21" s="19" t="n">
        <v>0</v>
      </c>
      <c r="F21" s="2" t="inlineStr">
        <is>
          <t>Trigger: 100K partners + $5B GMV (likely Y4+)</t>
        </is>
      </c>
    </row>
    <row r="22">
      <c r="B22" s="4" t="inlineStr">
        <is>
          <t>Reward — unvested (= liability)</t>
        </is>
      </c>
      <c r="C22" s="19" t="n">
        <v>7500000</v>
      </c>
      <c r="D22" s="19" t="n">
        <v>11250000</v>
      </c>
      <c r="E22" s="19" t="n">
        <v>11250000</v>
      </c>
      <c r="F22" s="2" t="inlineStr">
        <is>
          <t>On Balance Sheet — unvested portion of authorized tranches</t>
        </is>
      </c>
    </row>
    <row r="23">
      <c r="B23" s="6" t="inlineStr">
        <is>
          <t>AUTHORIZED SUPPLY EXPANSION (governance-gated)</t>
        </is>
      </c>
    </row>
    <row r="24">
      <c r="B24" s="4" t="inlineStr">
        <is>
          <t>Authorized but unminted (max)</t>
        </is>
      </c>
      <c r="C24" s="19" t="n">
        <v>200000000</v>
      </c>
      <c r="D24" s="19" t="n">
        <v>200000000</v>
      </c>
      <c r="E24" s="19" t="n">
        <v>200000000</v>
      </c>
      <c r="F24" s="2" t="inlineStr">
        <is>
          <t>Conditional on RWA growth + Super NFT vote</t>
        </is>
      </c>
    </row>
    <row r="25">
      <c r="B25" s="4" t="inlineStr">
        <is>
          <t>Tranche A — 50M</t>
        </is>
      </c>
      <c r="C25" s="19" t="n">
        <v>0</v>
      </c>
      <c r="D25" s="19" t="n">
        <v>50000000</v>
      </c>
      <c r="E25" s="19" t="n">
        <v>50000000</v>
      </c>
      <c r="F25" s="2" t="inlineStr">
        <is>
          <t>After 5K partners + $250M GMV</t>
        </is>
      </c>
    </row>
    <row r="26">
      <c r="B26" s="4" t="inlineStr">
        <is>
          <t>Tranche B — 75M</t>
        </is>
      </c>
      <c r="C26" s="19" t="n">
        <v>0</v>
      </c>
      <c r="D26" s="19" t="n">
        <v>0</v>
      </c>
      <c r="E26" s="19" t="n">
        <v>75000000</v>
      </c>
      <c r="F26" s="2" t="inlineStr">
        <is>
          <t>After 25K partners + $1B GMV</t>
        </is>
      </c>
    </row>
    <row r="27">
      <c r="B27" s="4" t="inlineStr">
        <is>
          <t>Tranche C — 75M</t>
        </is>
      </c>
      <c r="C27" s="19" t="n">
        <v>0</v>
      </c>
      <c r="D27" s="19" t="n">
        <v>0</v>
      </c>
      <c r="E27" s="19" t="n">
        <v>0</v>
      </c>
      <c r="F27" s="2" t="inlineStr">
        <is>
          <t>After 100K partners + $5B GMV</t>
        </is>
      </c>
    </row>
    <row r="28">
      <c r="B28" s="6" t="inlineStr">
        <is>
          <t>COMMITTED OUTFLOWS</t>
        </is>
      </c>
    </row>
    <row r="29">
      <c r="B29" s="4" t="inlineStr">
        <is>
          <t>Merchant float commitments</t>
        </is>
      </c>
      <c r="C29" s="19" t="n">
        <v>53000</v>
      </c>
      <c r="D29" s="19" t="n">
        <v>4410000</v>
      </c>
      <c r="E29" s="19" t="n">
        <v>44400000</v>
      </c>
      <c r="F29" s="2">
        <f> total partners × $1k float</f>
        <v/>
      </c>
    </row>
    <row r="30">
      <c r="B30" s="4" t="inlineStr">
        <is>
          <t>Revenue share owed to ARB</t>
        </is>
      </c>
      <c r="C30" s="19" t="n">
        <v>0</v>
      </c>
      <c r="D30" s="25" t="inlineStr">
        <is>
          <t>see BS</t>
        </is>
      </c>
      <c r="E30" s="25" t="inlineStr">
        <is>
          <t>see BS</t>
        </is>
      </c>
      <c r="F30" s="2" t="inlineStr">
        <is>
          <t>5% capped at 1.5× grant ($225k)</t>
        </is>
      </c>
    </row>
    <row r="32">
      <c r="B32" s="3" t="inlineStr">
        <is>
          <t>⚠ FLAG: At Y3 = 1M buyers × $350 / $1.18 deflationary = ~297M CURD demand,</t>
        </is>
      </c>
    </row>
    <row r="33">
      <c r="B33" s="4" t="inlineStr">
        <is>
          <t xml:space="preserve">    which exceeds 200M total supply. Either (a) trim Y3 buyer count,</t>
        </is>
      </c>
    </row>
    <row r="34">
      <c r="B34" s="4" t="inlineStr">
        <is>
          <t xml:space="preserve">    (b) accept higher CURD price (e.g. $5+ in Y3 → 70M CURD demand, feasible),</t>
        </is>
      </c>
    </row>
    <row r="35">
      <c r="B35" s="4" t="inlineStr">
        <is>
          <t xml:space="preserve">    or (c) governance vote to mint new CURD supply.</t>
        </is>
      </c>
    </row>
  </sheetData>
  <mergeCells count="6">
    <mergeCell ref="B6:F6"/>
    <mergeCell ref="B15:F15"/>
    <mergeCell ref="B11:F11"/>
    <mergeCell ref="B28:F28"/>
    <mergeCell ref="B23:F23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2026-05-05T22:35:06Z</dcterms:created>
  <dcterms:modified xsi:type="dcterms:W3CDTF">2026-05-05T22:35:06Z</dcterms:modified>
</cp:coreProperties>
</file>