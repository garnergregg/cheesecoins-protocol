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ilestones" sheetId="2" state="visible" r:id="rId2"/>
    <sheet name="Disbursements" sheetId="3" state="visible" r:id="rId3"/>
    <sheet name="Summary" sheetId="4" state="visible" r:id="rId4"/>
    <sheet name="Repa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yyyy"/>
    <numFmt numFmtId="166" formatCode="&quot;$&quot;#,##0"/>
    <numFmt numFmtId="167" formatCode="0.0%"/>
    <numFmt numFmtId="168" formatCode="0.0&quot;x&quot;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1"/>
    </font>
    <font>
      <b val="1"/>
    </font>
    <font>
      <b val="1"/>
      <sz val="12"/>
    </font>
    <font>
      <b val="1"/>
      <i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C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3" borderId="1" pivotButton="0" quotePrefix="0" xfId="0"/>
    <xf numFmtId="166" fontId="4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166" fontId="5" fillId="4" borderId="1" pivotButton="0" quotePrefix="0" xfId="0"/>
    <xf numFmtId="166" fontId="2" fillId="3" borderId="1" pivotButton="0" quotePrefix="0" xfId="0"/>
    <xf numFmtId="0" fontId="6" fillId="0" borderId="0" pivotButton="0" quotePrefix="0" xfId="0"/>
    <xf numFmtId="166" fontId="6" fillId="0" borderId="1" pivotButton="0" quotePrefix="0" xfId="0"/>
    <xf numFmtId="0" fontId="4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4" fillId="4" borderId="1" pivotButton="0" quotePrefix="0" xfId="0"/>
    <xf numFmtId="167" fontId="4" fillId="4" borderId="1" pivotButton="0" quotePrefix="0" xfId="0"/>
    <xf numFmtId="0" fontId="5" fillId="0" borderId="0" pivotButton="0" quotePrefix="0" xfId="0"/>
    <xf numFmtId="168" fontId="0" fillId="3" borderId="1" pivotButton="0" quotePrefix="0" xfId="0"/>
    <xf numFmtId="1" fontId="0" fillId="3" borderId="1" pivotButton="0" quotePrefix="0" xfId="0"/>
    <xf numFmtId="167" fontId="0" fillId="3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8E6C8"/>
        </patternFill>
      </fill>
    </dxf>
    <dxf>
      <fill>
        <patternFill patternType="solid">
          <fgColor rgb="00F4B7B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Cheesecoins Protocol — Arbitrum Grant Disbursement Schedule</t>
        </is>
      </c>
    </row>
    <row r="2">
      <c r="A2" s="2" t="inlineStr">
        <is>
          <t>Working draft — May 7, 2026</t>
        </is>
      </c>
    </row>
    <row r="4">
      <c r="A4" t="inlineStr"/>
    </row>
    <row r="5">
      <c r="A5" t="inlineStr">
        <is>
          <t>How to use this workbook:</t>
        </is>
      </c>
    </row>
    <row r="6">
      <c r="A6" t="inlineStr"/>
    </row>
    <row r="7">
      <c r="A7" t="inlineStr">
        <is>
          <t>1. Open the Disbursements sheet. Yellow cells are inputs you can change.</t>
        </is>
      </c>
    </row>
    <row r="8">
      <c r="A8" t="inlineStr">
        <is>
          <t>2. Adjust per-milestone bucket allocations until the totals work for you.</t>
        </is>
      </c>
    </row>
    <row r="9">
      <c r="A9" t="inlineStr">
        <is>
          <t>3. The Tranche Total column and grand totals at the bottom auto-recalculate.</t>
        </is>
      </c>
    </row>
    <row r="10">
      <c r="A10" t="inlineStr">
        <is>
          <t>4. The Repayment sheet shows the repayment-trigger logic — adjustable separately.</t>
        </is>
      </c>
    </row>
    <row r="11">
      <c r="A11" t="inlineStr">
        <is>
          <t>5. The Summary sheet auto-rolls bucket totals and percentages.</t>
        </is>
      </c>
    </row>
    <row r="12">
      <c r="A12" t="inlineStr"/>
    </row>
    <row r="13">
      <c r="A13" t="inlineStr">
        <is>
          <t>When you're done, the final numbers get folded into the grant doc sections 6 and 7.</t>
        </is>
      </c>
    </row>
    <row r="14">
      <c r="A14" t="inlineStr"/>
    </row>
    <row r="15">
      <c r="A15" t="inlineStr">
        <is>
          <t>Bucket meanings:</t>
        </is>
      </c>
    </row>
    <row r="16">
      <c r="A16" t="inlineStr">
        <is>
          <t xml:space="preserve">  - Promo: paid acquisition campaigns + partner incentive payments at thresholds</t>
        </is>
      </c>
    </row>
    <row r="17">
      <c r="A17" t="inlineStr">
        <is>
          <t xml:space="preserve">  - Liquidity: CURD/USDC seed on Uniswap V3 0.05% stablecoin tier</t>
        </is>
      </c>
    </row>
    <row r="18">
      <c r="A18" t="inlineStr">
        <is>
          <t xml:space="preserve">  - Founder dev: solo founder time on protocol contracts + integration</t>
        </is>
      </c>
    </row>
    <row r="19">
      <c r="A19" t="inlineStr">
        <is>
          <t xml:space="preserve">  - Ops: multi-keeper infra, uptime, support — monthly stipend equivalent</t>
        </is>
      </c>
    </row>
    <row r="20">
      <c r="A20" t="inlineStr">
        <is>
          <t xml:space="preserve">  - Contractor: external contractor capacity for FxPegged audit prep / multi-keeper infra</t>
        </is>
      </c>
    </row>
    <row r="21">
      <c r="A21" t="inlineStr">
        <is>
          <t xml:space="preserve">  - Audit: Arbitrum Audit Program contingency + final attestation gas</t>
        </is>
      </c>
    </row>
    <row r="22">
      <c r="A22" t="inlineStr">
        <is>
          <t xml:space="preserve">  - CME: CME data licensing seed + first paid integration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70" customWidth="1" min="4" max="4"/>
  </cols>
  <sheetData>
    <row r="1">
      <c r="A1" s="3" t="inlineStr">
        <is>
          <t>#</t>
        </is>
      </c>
      <c r="B1" s="3" t="inlineStr">
        <is>
          <t>Milestone</t>
        </is>
      </c>
      <c r="C1" s="3" t="inlineStr">
        <is>
          <t>Target date</t>
        </is>
      </c>
      <c r="D1" s="3" t="inlineStr">
        <is>
          <t>Trigger (on-chain verifiable)</t>
        </is>
      </c>
    </row>
    <row r="2" ht="30" customHeight="1">
      <c r="A2" s="4" t="inlineStr">
        <is>
          <t>M1</t>
        </is>
      </c>
      <c r="B2" s="5" t="inlineStr">
        <is>
          <t>5 partners across 2+ tiers</t>
        </is>
      </c>
      <c r="C2" s="6" t="n">
        <v>46174</v>
      </c>
      <c r="D2" s="5" t="inlineStr">
        <is>
          <t>5 setMerchantWithTier events on MerchantRegistry (likely already onboarded by M0 — fires immediately)</t>
        </is>
      </c>
    </row>
    <row r="3" ht="30" customHeight="1">
      <c r="A3" s="4" t="inlineStr">
        <is>
          <t>M0</t>
        </is>
      </c>
      <c r="B3" s="5" t="inlineStr">
        <is>
          <t>Grant accepted, promo campaign launches</t>
        </is>
      </c>
      <c r="C3" s="6" t="n">
        <v>46204</v>
      </c>
      <c r="D3" s="5" t="inlineStr">
        <is>
          <t>Grant agreement signed; promo spend begins (Greg starts onboarding partners independently in May 2026)</t>
        </is>
      </c>
    </row>
    <row r="4" ht="30" customHeight="1">
      <c r="A4" s="4" t="inlineStr">
        <is>
          <t>M2</t>
        </is>
      </c>
      <c r="B4" s="5" t="inlineStr">
        <is>
          <t>CME data agreement signed; integration test live on Sepolia</t>
        </is>
      </c>
      <c r="C4" s="6" t="n">
        <v>46204</v>
      </c>
      <c r="D4" s="5" t="inlineStr">
        <is>
          <t>Signed CME agreement + on-chain price update events on CommodityPriceOracle</t>
        </is>
      </c>
    </row>
    <row r="5" ht="30" customHeight="1">
      <c r="A5" s="4" t="inlineStr">
        <is>
          <t>M3</t>
        </is>
      </c>
      <c r="B5" s="5" t="inlineStr">
        <is>
          <t>15 partners across 3+ tiers, CURD/USDC pool live</t>
        </is>
      </c>
      <c r="C5" s="6" t="n">
        <v>46235</v>
      </c>
      <c r="D5" s="5" t="inlineStr">
        <is>
          <t>15 MerchantStatusChanged events + Uniswap V3 0.05% stablecoin pool deploy tx</t>
        </is>
      </c>
    </row>
    <row r="6" ht="30" customHeight="1">
      <c r="A6" s="4" t="inlineStr">
        <is>
          <t>M4</t>
        </is>
      </c>
      <c r="B6" s="5" t="inlineStr">
        <is>
          <t>First Commerce NFT project fully sold out</t>
        </is>
      </c>
      <c r="C6" s="6" t="n">
        <v>46235</v>
      </c>
      <c r="D6" s="5" t="inlineStr">
        <is>
          <t>All scenes in a partner Commerce NFT project hit SCENE_MAX_SUPPLY cap (REPAYMENT TRIGGER)</t>
        </is>
      </c>
    </row>
    <row r="7" ht="30" customHeight="1">
      <c r="A7" s="4" t="inlineStr">
        <is>
          <t>M5</t>
        </is>
      </c>
      <c r="B7" s="5" t="inlineStr">
        <is>
          <t>FxPeggedRedemption module audited and deployed to mainnet</t>
        </is>
      </c>
      <c r="C7" s="6" t="n">
        <v>46235</v>
      </c>
      <c r="D7" s="5" t="inlineStr">
        <is>
          <t>Audit report published + module configured on FiatRedemptionVault proxy</t>
        </is>
      </c>
    </row>
    <row r="8" ht="30" customHeight="1">
      <c r="A8" s="4" t="inlineStr">
        <is>
          <t>M6</t>
        </is>
      </c>
      <c r="B8" s="5" t="inlineStr">
        <is>
          <t>30 partners across all 5 tiers</t>
        </is>
      </c>
      <c r="C8" s="6" t="n">
        <v>46357</v>
      </c>
      <c r="D8" s="5" t="inlineStr">
        <is>
          <t>30 MerchantStatusChanged events covering all 5 Tier enum values</t>
        </is>
      </c>
    </row>
    <row r="9" ht="30" customHeight="1">
      <c r="A9" s="4" t="inlineStr">
        <is>
          <t>M7</t>
        </is>
      </c>
      <c r="B9" s="5" t="inlineStr">
        <is>
          <t>Nubians North NFT project 50% sellout</t>
        </is>
      </c>
      <c r="C9" s="6" t="n">
        <v>46447</v>
      </c>
      <c r="D9" s="5" t="inlineStr">
        <is>
          <t>mintedPerScene cumulative &gt;= 50% of TOTAL_MAX_SUPPLY (25,000 of 50,000) — REPAYMENT TRIGGER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Milestone</t>
        </is>
      </c>
      <c r="B1" s="3" t="inlineStr">
        <is>
          <t>Target date</t>
        </is>
      </c>
      <c r="C1" s="3" t="inlineStr">
        <is>
          <t>Promo</t>
        </is>
      </c>
      <c r="D1" s="3" t="inlineStr">
        <is>
          <t>Liquidity</t>
        </is>
      </c>
      <c r="E1" s="3" t="inlineStr">
        <is>
          <t>Founder dev</t>
        </is>
      </c>
      <c r="F1" s="3" t="inlineStr">
        <is>
          <t>Ops</t>
        </is>
      </c>
      <c r="G1" s="3" t="inlineStr">
        <is>
          <t>Contractor</t>
        </is>
      </c>
      <c r="H1" s="3" t="inlineStr">
        <is>
          <t>Audit</t>
        </is>
      </c>
      <c r="I1" s="3" t="inlineStr">
        <is>
          <t>CME</t>
        </is>
      </c>
      <c r="J1" s="3" t="inlineStr">
        <is>
          <t>Tranche total</t>
        </is>
      </c>
      <c r="K1" s="3" t="inlineStr">
        <is>
          <t>Cumulative</t>
        </is>
      </c>
    </row>
    <row r="2">
      <c r="A2" s="7" t="inlineStr">
        <is>
          <t>M0</t>
        </is>
      </c>
      <c r="B2" s="8">
        <f>VLOOKUP(A2, Milestones!A:C, 3, FALSE)</f>
        <v/>
      </c>
      <c r="C2" s="9" t="n">
        <v>50000</v>
      </c>
      <c r="D2" s="9" t="n">
        <v>0</v>
      </c>
      <c r="E2" s="9" t="n">
        <v>3000</v>
      </c>
      <c r="F2" s="9" t="n">
        <v>2000</v>
      </c>
      <c r="G2" s="9" t="n">
        <v>0</v>
      </c>
      <c r="H2" s="9" t="n">
        <v>0</v>
      </c>
      <c r="I2" s="9" t="n">
        <v>0</v>
      </c>
      <c r="J2" s="10">
        <f>SUM(C2:I2)</f>
        <v/>
      </c>
      <c r="K2" s="10">
        <f>J2</f>
        <v/>
      </c>
    </row>
    <row r="3">
      <c r="A3" s="7" t="inlineStr">
        <is>
          <t>M1</t>
        </is>
      </c>
      <c r="B3" s="8">
        <f>VLOOKUP(A3, Milestones!A:C, 3, FALSE)</f>
        <v/>
      </c>
      <c r="C3" s="9" t="n">
        <v>20000</v>
      </c>
      <c r="D3" s="9" t="n">
        <v>0</v>
      </c>
      <c r="E3" s="9" t="n">
        <v>3000</v>
      </c>
      <c r="F3" s="9" t="n">
        <v>2000</v>
      </c>
      <c r="G3" s="9" t="n">
        <v>0</v>
      </c>
      <c r="H3" s="9" t="n">
        <v>0</v>
      </c>
      <c r="I3" s="9" t="n">
        <v>0</v>
      </c>
      <c r="J3" s="10">
        <f>SUM(C3:I3)</f>
        <v/>
      </c>
      <c r="K3" s="10">
        <f>K2+J3</f>
        <v/>
      </c>
    </row>
    <row r="4">
      <c r="A4" s="7" t="inlineStr">
        <is>
          <t>M2</t>
        </is>
      </c>
      <c r="B4" s="8">
        <f>VLOOKUP(A4, Milestones!A:C, 3, FALSE)</f>
        <v/>
      </c>
      <c r="C4" s="9" t="n">
        <v>0</v>
      </c>
      <c r="D4" s="9" t="n">
        <v>0</v>
      </c>
      <c r="E4" s="9" t="n">
        <v>3000</v>
      </c>
      <c r="F4" s="9" t="n">
        <v>2000</v>
      </c>
      <c r="G4" s="9" t="n">
        <v>0</v>
      </c>
      <c r="H4" s="9" t="n">
        <v>0</v>
      </c>
      <c r="I4" s="9" t="n">
        <v>8000</v>
      </c>
      <c r="J4" s="10">
        <f>SUM(C4:I4)</f>
        <v/>
      </c>
      <c r="K4" s="10">
        <f>K3+J4</f>
        <v/>
      </c>
    </row>
    <row r="5">
      <c r="A5" s="7" t="inlineStr">
        <is>
          <t>M3</t>
        </is>
      </c>
      <c r="B5" s="8">
        <f>VLOOKUP(A5, Milestones!A:C, 3, FALSE)</f>
        <v/>
      </c>
      <c r="C5" s="9" t="n">
        <v>10000</v>
      </c>
      <c r="D5" s="9" t="n">
        <v>20000</v>
      </c>
      <c r="E5" s="9" t="n">
        <v>3000</v>
      </c>
      <c r="F5" s="9" t="n">
        <v>2000</v>
      </c>
      <c r="G5" s="9" t="n">
        <v>0</v>
      </c>
      <c r="H5" s="9" t="n">
        <v>0</v>
      </c>
      <c r="I5" s="9" t="n">
        <v>0</v>
      </c>
      <c r="J5" s="10">
        <f>SUM(C5:I5)</f>
        <v/>
      </c>
      <c r="K5" s="10">
        <f>K4+J5</f>
        <v/>
      </c>
    </row>
    <row r="6">
      <c r="A6" s="7" t="inlineStr">
        <is>
          <t>M5</t>
        </is>
      </c>
      <c r="B6" s="8">
        <f>VLOOKUP(A6, Milestones!A:C, 3, FALSE)</f>
        <v/>
      </c>
      <c r="C6" s="9" t="n">
        <v>0</v>
      </c>
      <c r="D6" s="9" t="n">
        <v>0</v>
      </c>
      <c r="E6" s="9" t="n">
        <v>3000</v>
      </c>
      <c r="F6" s="9" t="n">
        <v>2000</v>
      </c>
      <c r="G6" s="9" t="n">
        <v>6000</v>
      </c>
      <c r="H6" s="9" t="n">
        <v>6000</v>
      </c>
      <c r="I6" s="9" t="n">
        <v>0</v>
      </c>
      <c r="J6" s="10">
        <f>SUM(C6:I6)</f>
        <v/>
      </c>
      <c r="K6" s="10">
        <f>K5+J6</f>
        <v/>
      </c>
    </row>
    <row r="7">
      <c r="A7" s="7" t="inlineStr">
        <is>
          <t>M6</t>
        </is>
      </c>
      <c r="B7" s="8">
        <f>VLOOKUP(A7, Milestones!A:C, 3, FALSE)</f>
        <v/>
      </c>
      <c r="C7" s="9" t="n">
        <v>0</v>
      </c>
      <c r="D7" s="9" t="n">
        <v>0</v>
      </c>
      <c r="E7" s="9" t="n">
        <v>3000</v>
      </c>
      <c r="F7" s="9" t="n">
        <v>2000</v>
      </c>
      <c r="G7" s="9" t="n">
        <v>0</v>
      </c>
      <c r="H7" s="9" t="n">
        <v>0</v>
      </c>
      <c r="I7" s="9" t="n">
        <v>0</v>
      </c>
      <c r="J7" s="10">
        <f>SUM(C7:I7)</f>
        <v/>
      </c>
      <c r="K7" s="10">
        <f>K6+J7</f>
        <v/>
      </c>
    </row>
    <row r="8">
      <c r="A8" s="11" t="inlineStr">
        <is>
          <t>Total</t>
        </is>
      </c>
      <c r="C8" s="10">
        <f>SUM(C2:C7)</f>
        <v/>
      </c>
      <c r="D8" s="10">
        <f>SUM(D2:D7)</f>
        <v/>
      </c>
      <c r="E8" s="10">
        <f>SUM(E2:E7)</f>
        <v/>
      </c>
      <c r="F8" s="10">
        <f>SUM(F2:F7)</f>
        <v/>
      </c>
      <c r="G8" s="10">
        <f>SUM(G2:G7)</f>
        <v/>
      </c>
      <c r="H8" s="10">
        <f>SUM(H2:H7)</f>
        <v/>
      </c>
      <c r="I8" s="10">
        <f>SUM(I2:I7)</f>
        <v/>
      </c>
      <c r="J8" s="12">
        <f>SUM(J2:J7)</f>
        <v/>
      </c>
    </row>
    <row r="10">
      <c r="A10" s="2" t="inlineStr">
        <is>
          <t>Target</t>
        </is>
      </c>
      <c r="J10" s="13" t="n">
        <v>150000</v>
      </c>
    </row>
    <row r="11">
      <c r="A11" s="14" t="inlineStr">
        <is>
          <t>Variance</t>
        </is>
      </c>
      <c r="J11" s="15">
        <f>J8-J10</f>
        <v/>
      </c>
    </row>
  </sheetData>
  <conditionalFormatting sqref="J11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70" customWidth="1" min="4" max="4"/>
  </cols>
  <sheetData>
    <row r="1">
      <c r="A1" s="3" t="inlineStr">
        <is>
          <t>Bucket</t>
        </is>
      </c>
      <c r="B1" s="3" t="inlineStr">
        <is>
          <t>Amount</t>
        </is>
      </c>
      <c r="C1" s="3" t="inlineStr">
        <is>
          <t>% of grant</t>
        </is>
      </c>
      <c r="D1" s="3" t="inlineStr">
        <is>
          <t>Release gate</t>
        </is>
      </c>
    </row>
    <row r="2" ht="28" customHeight="1">
      <c r="A2" s="16" t="inlineStr">
        <is>
          <t>Promo</t>
        </is>
      </c>
      <c r="B2" s="17">
        <f>Disbursements!C8</f>
        <v/>
      </c>
      <c r="C2" s="18">
        <f>B2/Disbursements!J8</f>
        <v/>
      </c>
      <c r="D2" s="5" t="inlineStr">
        <is>
          <t>Tranched at M0 / M1 / M2 — front-loaded</t>
        </is>
      </c>
    </row>
    <row r="3" ht="28" customHeight="1">
      <c r="A3" s="16" t="inlineStr">
        <is>
          <t>Liquidity</t>
        </is>
      </c>
      <c r="B3" s="17">
        <f>Disbursements!D8</f>
        <v/>
      </c>
      <c r="C3" s="18">
        <f>B3/Disbursements!J8</f>
        <v/>
      </c>
      <c r="D3" s="5" t="inlineStr">
        <is>
          <t>M2: CURD/USDC pool seed on Uniswap V3 0.05% stablecoin tier</t>
        </is>
      </c>
    </row>
    <row r="4" ht="28" customHeight="1">
      <c r="A4" s="16" t="inlineStr">
        <is>
          <t>Founder dev</t>
        </is>
      </c>
      <c r="B4" s="17">
        <f>Disbursements!E8</f>
        <v/>
      </c>
      <c r="C4" s="18">
        <f>B4/Disbursements!J8</f>
        <v/>
      </c>
      <c r="D4" s="5" t="inlineStr">
        <is>
          <t>$3k per milestone × 6 milestones — milestone-tied not time-tied</t>
        </is>
      </c>
    </row>
    <row r="5" ht="28" customHeight="1">
      <c r="A5" s="16" t="inlineStr">
        <is>
          <t>Ops</t>
        </is>
      </c>
      <c r="B5" s="17">
        <f>Disbursements!F8</f>
        <v/>
      </c>
      <c r="C5" s="18">
        <f>B5/Disbursements!J8</f>
        <v/>
      </c>
      <c r="D5" s="5" t="inlineStr">
        <is>
          <t>$2k per milestone × 6 milestones — multi-keeper infra, uptime, support</t>
        </is>
      </c>
    </row>
    <row r="6" ht="28" customHeight="1">
      <c r="A6" s="16" t="inlineStr">
        <is>
          <t>Contractor</t>
        </is>
      </c>
      <c r="B6" s="17">
        <f>Disbursements!G8</f>
        <v/>
      </c>
      <c r="C6" s="18">
        <f>B6/Disbursements!J8</f>
        <v/>
      </c>
      <c r="D6" s="5" t="inlineStr">
        <is>
          <t>M3: external contractor capacity against FxPegged prep</t>
        </is>
      </c>
    </row>
    <row r="7" ht="28" customHeight="1">
      <c r="A7" s="16" t="inlineStr">
        <is>
          <t>Audit</t>
        </is>
      </c>
      <c r="B7" s="17">
        <f>Disbursements!H8</f>
        <v/>
      </c>
      <c r="C7" s="18">
        <f>B7/Disbursements!J8</f>
        <v/>
      </c>
      <c r="D7" s="5" t="inlineStr">
        <is>
          <t>M6: contingency + final attestation; layers with Arbitrum Audit Program</t>
        </is>
      </c>
    </row>
    <row r="8" ht="28" customHeight="1">
      <c r="A8" s="16" t="inlineStr">
        <is>
          <t>CME</t>
        </is>
      </c>
      <c r="B8" s="17">
        <f>Disbursements!I8</f>
        <v/>
      </c>
      <c r="C8" s="18">
        <f>B8/Disbursements!J8</f>
        <v/>
      </c>
      <c r="D8" s="5" t="inlineStr">
        <is>
          <t>M7: CME data licensing seed + first paid integration test</t>
        </is>
      </c>
    </row>
    <row r="9" ht="28" customHeight="1">
      <c r="A9" s="19" t="inlineStr">
        <is>
          <t>Total</t>
        </is>
      </c>
      <c r="B9" s="10">
        <f>SUM(B2:B8)</f>
        <v/>
      </c>
      <c r="C9" s="20">
        <f>SUM(C2:C8)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</cols>
  <sheetData>
    <row r="1">
      <c r="A1" s="21" t="inlineStr">
        <is>
          <t>Cheesecoins -&gt; Arbitrum DAO repayment schedule</t>
        </is>
      </c>
    </row>
    <row r="2">
      <c r="A2" s="2" t="inlineStr">
        <is>
          <t>Repayment begins on the EARLIER of (a) or (b) below.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Notes</t>
        </is>
      </c>
    </row>
    <row r="5" ht="24" customHeight="1">
      <c r="A5" s="16" t="inlineStr">
        <is>
          <t>Grant amount</t>
        </is>
      </c>
      <c r="B5" s="9" t="n">
        <v>150000</v>
      </c>
      <c r="C5" s="5" t="inlineStr">
        <is>
          <t>Total ask, mirrors Disbursements grand total</t>
        </is>
      </c>
    </row>
    <row r="6" ht="24" customHeight="1">
      <c r="A6" s="16" t="inlineStr">
        <is>
          <t>Repayment cap multiple</t>
        </is>
      </c>
      <c r="B6" s="22" t="n">
        <v>1.5</v>
      </c>
      <c r="C6" s="5" t="inlineStr">
        <is>
          <t>1.5x = $225k cumulative repayment maximum</t>
        </is>
      </c>
    </row>
    <row r="7" ht="24" customHeight="1">
      <c r="A7" s="16" t="inlineStr">
        <is>
          <t>Repayment cap (USD)</t>
        </is>
      </c>
      <c r="B7" s="17">
        <f>B5*B6</f>
        <v/>
      </c>
      <c r="C7" s="5" t="inlineStr">
        <is>
          <t>Auto-calc: grant amount * cap multiple</t>
        </is>
      </c>
    </row>
    <row r="8" ht="24" customHeight="1">
      <c r="A8" s="16" t="inlineStr">
        <is>
          <t>Time cap (months)</t>
        </is>
      </c>
      <c r="B8" s="23" t="n">
        <v>36</v>
      </c>
      <c r="C8" s="5" t="inlineStr">
        <is>
          <t>From M2 (CME integration live)</t>
        </is>
      </c>
    </row>
    <row r="9" ht="24" customHeight="1">
      <c r="A9" s="16" t="inlineStr">
        <is>
          <t>Subscription rev-share %</t>
        </is>
      </c>
      <c r="B9" s="24" t="n">
        <v>0.05</v>
      </c>
      <c r="C9" s="5" t="inlineStr">
        <is>
          <t>5% of subscription revenue from Settlement Index consumers</t>
        </is>
      </c>
    </row>
    <row r="10" ht="24" customHeight="1">
      <c r="A10" s="16" t="inlineStr">
        <is>
          <t>Commerce NFT fee % (existing)</t>
        </is>
      </c>
      <c r="B10" s="24" t="n">
        <v>0.05</v>
      </c>
      <c r="C10" s="5" t="inlineStr">
        <is>
          <t>Already deployed in ProjectSale</t>
        </is>
      </c>
    </row>
    <row r="11" ht="24" customHeight="1">
      <c r="A11" s="16" t="inlineStr">
        <is>
          <t>Trigger (a): First Commerce NFT sold out</t>
        </is>
      </c>
      <c r="B11" s="9" t="inlineStr">
        <is>
          <t>M4</t>
        </is>
      </c>
      <c r="C11" s="5" t="inlineStr">
        <is>
          <t>Smaller / earlier signal — partner project fully sold</t>
        </is>
      </c>
    </row>
    <row r="12" ht="24" customHeight="1">
      <c r="A12" s="16" t="inlineStr">
        <is>
          <t>Trigger (b): Nubians North 50% sellout</t>
        </is>
      </c>
      <c r="B12" s="9" t="inlineStr">
        <is>
          <t>M7</t>
        </is>
      </c>
      <c r="C12" s="5" t="inlineStr">
        <is>
          <t>Flagship collection at 25,000 of 50,000 minted</t>
        </is>
      </c>
    </row>
    <row r="13" ht="24" customHeight="1">
      <c r="A13" s="16" t="inlineStr">
        <is>
          <t>Trigger (c): Subscription rev share</t>
        </is>
      </c>
      <c r="B13" s="9" t="inlineStr">
        <is>
          <t>M2</t>
        </is>
      </c>
      <c r="C13" s="5" t="inlineStr">
        <is>
          <t>When Settlement Index integration goes live</t>
        </is>
      </c>
    </row>
    <row r="14" ht="24" customHeight="1">
      <c r="A14" s="16" t="inlineStr">
        <is>
          <t>NFT-route repayment % of fees</t>
        </is>
      </c>
      <c r="B14" s="24" t="n">
        <v>1</v>
      </c>
      <c r="C14" s="5" t="inlineStr">
        <is>
          <t>% of protocol's 5% commerce fees that route to repayment escrow until cap is hit</t>
        </is>
      </c>
    </row>
    <row r="16">
      <c r="A16" s="25" t="inlineStr">
        <is>
          <t>Mechanism</t>
        </is>
      </c>
    </row>
    <row r="17" ht="60" customHeight="1">
      <c r="A17" s="26" t="inlineStr">
        <is>
          <t>Path A (NFT-route): when M4 (50% sellout of any Commerce NFT project) hits, the protocol's 5% commerce fee on subsequent NFT sales routes to a repayment escrow until the cap is hit. Off-chain accounting initially; can move to on-chain enforcement later.</t>
        </is>
      </c>
    </row>
    <row r="19" ht="60" customHeight="1">
      <c r="A19" s="26" t="inlineStr">
        <is>
          <t>Path B (subscription-route): from M7 onward, 5% of Settlement Index subscription revenue from consumer protocols accrues to the Arbitrum DAO treasury until the cap is hit, or 36 months from M7 (whichever first).</t>
        </is>
      </c>
    </row>
    <row r="21" ht="50" customHeight="1">
      <c r="A21" s="26" t="inlineStr">
        <is>
          <t>After cap is met, share drops to 0%. After cap is met OR 36 months from M7 (whichever first), obligation is fully satisfied.</t>
        </is>
      </c>
    </row>
  </sheetData>
  <mergeCells count="3">
    <mergeCell ref="A17:C17"/>
    <mergeCell ref="A19:C19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2026-05-07T11:49:33Z</dcterms:created>
  <dcterms:modified xsi:type="dcterms:W3CDTF">2026-05-07T11:49:33Z</dcterms:modified>
</cp:coreProperties>
</file>